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gmy\aevia-test\assets\Template_Toddler\"/>
    </mc:Choice>
  </mc:AlternateContent>
  <xr:revisionPtr revIDLastSave="0" documentId="13_ncr:1_{A6DB2FBF-6525-4D2B-BD42-31F9F2444808}" xr6:coauthVersionLast="47" xr6:coauthVersionMax="47" xr10:uidLastSave="{00000000-0000-0000-0000-000000000000}"/>
  <bookViews>
    <workbookView xWindow="-108" yWindow="-108" windowWidth="23256" windowHeight="12456" xr2:uid="{4CBB4F2B-0595-4806-B8F1-C071DA4BF2B6}"/>
  </bookViews>
  <sheets>
    <sheet name="Sizing new" sheetId="3" r:id="rId1"/>
    <sheet name="Sheet1" sheetId="1" r:id="rId2"/>
  </sheets>
  <definedNames>
    <definedName name="_xlnm._FilterDatabase" localSheetId="0" hidden="1">'Sizing new'!$A$2:$U$54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48" i="3" l="1"/>
  <c r="P48" i="3"/>
  <c r="P44" i="3"/>
  <c r="O44" i="3"/>
  <c r="P4" i="3"/>
  <c r="O4" i="3"/>
  <c r="P3" i="3"/>
  <c r="O3" i="3"/>
  <c r="P6" i="3"/>
  <c r="O6" i="3"/>
  <c r="P5" i="3"/>
  <c r="O5" i="3"/>
  <c r="P54" i="3"/>
  <c r="O54" i="3"/>
  <c r="P53" i="3"/>
  <c r="O53" i="3"/>
  <c r="P52" i="3"/>
  <c r="O52" i="3"/>
  <c r="P51" i="3"/>
  <c r="O51" i="3"/>
  <c r="P50" i="3"/>
  <c r="O50" i="3"/>
  <c r="P49" i="3"/>
  <c r="O49" i="3"/>
  <c r="P47" i="3"/>
  <c r="O47" i="3"/>
  <c r="P46" i="3"/>
  <c r="O46" i="3"/>
  <c r="P45" i="3"/>
  <c r="O45" i="3"/>
  <c r="P43" i="3"/>
  <c r="O43" i="3"/>
  <c r="P42" i="3"/>
  <c r="O42" i="3"/>
  <c r="P41" i="3"/>
  <c r="O41" i="3"/>
  <c r="P40" i="3"/>
  <c r="O40" i="3"/>
  <c r="P39" i="3"/>
  <c r="O39" i="3"/>
  <c r="P38" i="3"/>
  <c r="O38" i="3"/>
  <c r="P37" i="3"/>
  <c r="O37" i="3"/>
  <c r="P36" i="3"/>
  <c r="O36" i="3"/>
  <c r="P35" i="3"/>
  <c r="O35" i="3"/>
  <c r="P34" i="3"/>
  <c r="O34" i="3"/>
  <c r="P33" i="3"/>
  <c r="O33" i="3"/>
  <c r="P32" i="3"/>
  <c r="O32" i="3"/>
  <c r="P31" i="3"/>
  <c r="O31" i="3"/>
  <c r="P30" i="3"/>
  <c r="O30" i="3"/>
  <c r="P29" i="3"/>
  <c r="O29" i="3"/>
  <c r="P28" i="3"/>
  <c r="O28" i="3"/>
  <c r="P27" i="3"/>
  <c r="O27" i="3"/>
  <c r="P26" i="3"/>
  <c r="O26" i="3"/>
  <c r="P25" i="3"/>
  <c r="O25" i="3"/>
  <c r="P24" i="3"/>
  <c r="O24" i="3"/>
  <c r="P23" i="3"/>
  <c r="O23" i="3"/>
  <c r="P22" i="3"/>
  <c r="O22" i="3"/>
  <c r="P21" i="3"/>
  <c r="O21" i="3"/>
  <c r="P20" i="3"/>
  <c r="O20" i="3"/>
  <c r="P19" i="3"/>
  <c r="O19" i="3"/>
  <c r="P18" i="3"/>
  <c r="O18" i="3"/>
  <c r="P17" i="3"/>
  <c r="O17" i="3"/>
  <c r="P16" i="3"/>
  <c r="O16" i="3"/>
  <c r="P15" i="3"/>
  <c r="O15" i="3"/>
  <c r="P14" i="3"/>
  <c r="O14" i="3"/>
  <c r="P13" i="3"/>
  <c r="O13" i="3"/>
  <c r="P12" i="3"/>
  <c r="O12" i="3"/>
  <c r="P11" i="3"/>
  <c r="O11" i="3"/>
  <c r="P10" i="3"/>
  <c r="O10" i="3"/>
  <c r="P9" i="3"/>
  <c r="O9" i="3"/>
  <c r="P8" i="3"/>
  <c r="O8" i="3"/>
  <c r="P7" i="3"/>
  <c r="O7" i="3"/>
</calcChain>
</file>

<file path=xl/sharedStrings.xml><?xml version="1.0" encoding="utf-8"?>
<sst xmlns="http://schemas.openxmlformats.org/spreadsheetml/2006/main" count="522" uniqueCount="56">
  <si>
    <t>Spread</t>
  </si>
  <si>
    <t>Page</t>
  </si>
  <si>
    <t>Slot</t>
  </si>
  <si>
    <t>Width (mm)</t>
  </si>
  <si>
    <t>Height (mm)</t>
  </si>
  <si>
    <t>Aspect ratio</t>
  </si>
  <si>
    <t>Orientation</t>
  </si>
  <si>
    <t>Bleed</t>
  </si>
  <si>
    <t>Page size</t>
  </si>
  <si>
    <t>3mm</t>
  </si>
  <si>
    <t>200×200mm</t>
  </si>
  <si>
    <t>Type</t>
  </si>
  <si>
    <t>captions allowed</t>
  </si>
  <si>
    <t>captions_position</t>
  </si>
  <si>
    <t>Standard</t>
  </si>
  <si>
    <t>Left H</t>
  </si>
  <si>
    <t>yes</t>
  </si>
  <si>
    <t>below (10mm from photo)</t>
  </si>
  <si>
    <t>Left V</t>
  </si>
  <si>
    <t>below (6mm from photo)</t>
  </si>
  <si>
    <t>Right H</t>
  </si>
  <si>
    <t>no</t>
  </si>
  <si>
    <t>Right V</t>
  </si>
  <si>
    <t>below (50mm from photo)</t>
  </si>
  <si>
    <t>upper right (5mm from photo)</t>
  </si>
  <si>
    <t>above (7mm from photo)</t>
  </si>
  <si>
    <t>above (6mm from photo)</t>
  </si>
  <si>
    <t>below (20mm from photo)</t>
  </si>
  <si>
    <t>below (5mm from photo)</t>
  </si>
  <si>
    <t>Functional</t>
  </si>
  <si>
    <t>-</t>
  </si>
  <si>
    <t>center</t>
  </si>
  <si>
    <t>Right S</t>
  </si>
  <si>
    <t>above (10mm from photo)</t>
  </si>
  <si>
    <t>above (30mm from photo)</t>
  </si>
  <si>
    <t>below (9mm from photo)</t>
  </si>
  <si>
    <t>Syb-type</t>
  </si>
  <si>
    <t>Birthday wishes</t>
  </si>
  <si>
    <t>Funny words</t>
  </si>
  <si>
    <t>Favourite toy</t>
  </si>
  <si>
    <t>First steps</t>
  </si>
  <si>
    <t>n.a</t>
  </si>
  <si>
    <t>Art-Gallery</t>
  </si>
  <si>
    <t>Heart photo</t>
  </si>
  <si>
    <t>bgColor</t>
  </si>
  <si>
    <t>#f8ead9</t>
  </si>
  <si>
    <t>#fdd16f</t>
  </si>
  <si>
    <t>#ff8773</t>
  </si>
  <si>
    <t>no background, full bleed photo</t>
  </si>
  <si>
    <t>#c16ac1</t>
  </si>
  <si>
    <t>X (mm) - without bleed</t>
  </si>
  <si>
    <t>Y (mm) - without bleed</t>
  </si>
  <si>
    <t>upper right (8mm from photo)</t>
  </si>
  <si>
    <t>functional_photo</t>
  </si>
  <si>
    <t>functional_text</t>
  </si>
  <si>
    <t>lower right (6mm from photo)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</si>
</sst>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BFBFBF"/>
      <name val="Segoe UI"/>
      <family val="2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21314"/>
        <bgColor indexed="64"/>
      </patternFill>
    </fill>
  </fills>
  <borders count="3">
    <border>
      <left/>
      <right/>
      <top/>
      <bottom/>
      <diagonal/>
    </border>
    <border>
      <left style="medium">
        <color rgb="FF2A2B2C"/>
      </left>
      <right style="medium">
        <color rgb="FF2A2B2C"/>
      </right>
      <top style="medium">
        <color rgb="FF2A2B2C"/>
      </top>
      <bottom style="medium">
        <color rgb="FF2A2B2C"/>
      </bottom>
      <diagonal/>
    </border>
    <border>
      <left style="medium">
        <color rgb="FF2A2B2C"/>
      </left>
      <right style="medium">
        <color rgb="FF2A2B2C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F4963-3D21-44A8-B532-19A211ECF799}">
  <dimension ref="A1:U54"/>
  <sheetViews>
    <sheetView tabSelected="1" topLeftCell="J15" zoomScale="70" zoomScaleNormal="70" workbookViewId="0">
      <selection activeCell="A48" sqref="A48:R48"/>
    </sheetView>
  </sheetViews>
  <sheetFormatPr defaultColWidth="8.6640625" defaultRowHeight="14.4" x14ac:dyDescent="0.3"/>
  <cols>
    <col min="1" max="4" width="26.109375" customWidth="1"/>
    <col min="5" max="8" width="17.109375" customWidth="1"/>
    <col min="9" max="10" width="23.109375" customWidth="1"/>
    <col min="11" max="14" width="40.33203125" customWidth="1"/>
    <col min="15" max="18" width="23.109375" customWidth="1"/>
    <col min="19" max="21" width="8.6640625" style="2"/>
  </cols>
  <sheetData>
    <row r="1" spans="1:21" ht="15" thickBot="1" x14ac:dyDescent="0.35"/>
    <row r="2" spans="1:21" ht="23.4" thickBot="1" x14ac:dyDescent="0.35">
      <c r="A2" s="4" t="s">
        <v>11</v>
      </c>
      <c r="B2" s="4" t="s">
        <v>36</v>
      </c>
      <c r="C2" s="4" t="s">
        <v>0</v>
      </c>
      <c r="D2" s="4" t="s">
        <v>1</v>
      </c>
      <c r="E2" s="4" t="s">
        <v>2</v>
      </c>
      <c r="F2" s="4" t="s">
        <v>50</v>
      </c>
      <c r="G2" s="4" t="s">
        <v>51</v>
      </c>
      <c r="H2" s="4" t="s">
        <v>3</v>
      </c>
      <c r="I2" s="4" t="s">
        <v>4</v>
      </c>
      <c r="J2" s="4" t="s">
        <v>12</v>
      </c>
      <c r="K2" s="4" t="s">
        <v>13</v>
      </c>
      <c r="L2" s="4" t="s">
        <v>53</v>
      </c>
      <c r="M2" s="4" t="s">
        <v>54</v>
      </c>
      <c r="N2" s="4" t="s">
        <v>44</v>
      </c>
      <c r="O2" s="4" t="s">
        <v>5</v>
      </c>
      <c r="P2" s="5" t="s">
        <v>6</v>
      </c>
      <c r="Q2" s="5" t="s">
        <v>7</v>
      </c>
      <c r="R2" s="5" t="s">
        <v>8</v>
      </c>
      <c r="S2" s="6"/>
      <c r="T2" s="6"/>
      <c r="U2" s="6"/>
    </row>
    <row r="3" spans="1:21" x14ac:dyDescent="0.3">
      <c r="A3" t="s">
        <v>14</v>
      </c>
      <c r="B3" t="s">
        <v>41</v>
      </c>
      <c r="C3">
        <v>0</v>
      </c>
      <c r="D3" t="s">
        <v>20</v>
      </c>
      <c r="E3" s="7">
        <v>1</v>
      </c>
      <c r="F3" s="1">
        <v>105</v>
      </c>
      <c r="G3" s="1">
        <v>70</v>
      </c>
      <c r="H3" s="1">
        <v>150</v>
      </c>
      <c r="I3" s="1">
        <v>100</v>
      </c>
      <c r="J3" s="1" t="s">
        <v>16</v>
      </c>
      <c r="K3" s="1" t="s">
        <v>23</v>
      </c>
      <c r="L3" s="1" t="s">
        <v>41</v>
      </c>
      <c r="M3" s="1" t="s">
        <v>41</v>
      </c>
      <c r="N3" s="1" t="s">
        <v>45</v>
      </c>
      <c r="O3" s="3" t="str">
        <f t="shared" ref="O3:O4" si="0">IFERROR(H3/GCD(H3,I3)&amp;":"&amp;I3/GCD(H3,I3),"n.a")</f>
        <v>3:2</v>
      </c>
      <c r="P3" s="3" t="str">
        <f t="shared" ref="P3:P4" si="1">IF(OR(H3="n.a",I3="n.a"),"n.a",IF(H3&gt;I3,"horizontal",IF(I3&gt;H3,"vertical",IF(H3=I3,"square",""))))</f>
        <v>horizontal</v>
      </c>
      <c r="Q3" s="1" t="s">
        <v>9</v>
      </c>
      <c r="R3" s="1" t="s">
        <v>10</v>
      </c>
    </row>
    <row r="4" spans="1:21" x14ac:dyDescent="0.3">
      <c r="A4" t="s">
        <v>14</v>
      </c>
      <c r="B4" t="s">
        <v>41</v>
      </c>
      <c r="C4">
        <v>0</v>
      </c>
      <c r="D4" t="s">
        <v>22</v>
      </c>
      <c r="E4" s="7">
        <v>1</v>
      </c>
      <c r="F4" s="1">
        <v>85</v>
      </c>
      <c r="G4" s="1">
        <v>100</v>
      </c>
      <c r="H4" s="1">
        <v>120</v>
      </c>
      <c r="I4" s="1">
        <v>160</v>
      </c>
      <c r="J4" s="1" t="s">
        <v>16</v>
      </c>
      <c r="K4" s="1" t="s">
        <v>24</v>
      </c>
      <c r="L4" s="1" t="s">
        <v>41</v>
      </c>
      <c r="M4" s="1" t="s">
        <v>41</v>
      </c>
      <c r="N4" s="1" t="s">
        <v>45</v>
      </c>
      <c r="O4" s="3" t="str">
        <f t="shared" si="0"/>
        <v>3:4</v>
      </c>
      <c r="P4" s="3" t="str">
        <f t="shared" si="1"/>
        <v>vertical</v>
      </c>
      <c r="Q4" s="1" t="s">
        <v>9</v>
      </c>
      <c r="R4" s="1" t="s">
        <v>10</v>
      </c>
    </row>
    <row r="5" spans="1:21" x14ac:dyDescent="0.3">
      <c r="A5" t="s">
        <v>14</v>
      </c>
      <c r="B5" t="s">
        <v>41</v>
      </c>
      <c r="C5">
        <v>1</v>
      </c>
      <c r="D5" t="s">
        <v>15</v>
      </c>
      <c r="E5" s="7">
        <v>1</v>
      </c>
      <c r="F5" s="1">
        <v>95</v>
      </c>
      <c r="G5" s="1">
        <v>100</v>
      </c>
      <c r="H5" s="1">
        <v>150</v>
      </c>
      <c r="I5" s="1">
        <v>100</v>
      </c>
      <c r="J5" s="1" t="s">
        <v>16</v>
      </c>
      <c r="K5" s="1" t="s">
        <v>17</v>
      </c>
      <c r="L5" s="1" t="s">
        <v>41</v>
      </c>
      <c r="M5" s="1" t="s">
        <v>41</v>
      </c>
      <c r="N5" s="1" t="s">
        <v>45</v>
      </c>
      <c r="O5" s="3" t="str">
        <f>IFERROR(H5/GCD(H5,I5)&amp;":"&amp;I5/GCD(H5,I5),"n.a")</f>
        <v>3:2</v>
      </c>
      <c r="P5" s="3" t="str">
        <f>IF(OR(H5="n.a",I5="n.a"),"n.a",IF(H5&gt;I5,"horizontal",IF(I5&gt;H5,"vertical",IF(H5=I5,"square",""))))</f>
        <v>horizontal</v>
      </c>
      <c r="Q5" s="1" t="s">
        <v>9</v>
      </c>
      <c r="R5" s="1" t="s">
        <v>10</v>
      </c>
    </row>
    <row r="6" spans="1:21" x14ac:dyDescent="0.3">
      <c r="A6" t="s">
        <v>14</v>
      </c>
      <c r="B6" t="s">
        <v>41</v>
      </c>
      <c r="C6">
        <v>1</v>
      </c>
      <c r="D6" t="s">
        <v>18</v>
      </c>
      <c r="E6" s="7">
        <v>1</v>
      </c>
      <c r="F6" s="1">
        <v>95</v>
      </c>
      <c r="G6" s="1">
        <v>90</v>
      </c>
      <c r="H6" s="1">
        <v>120</v>
      </c>
      <c r="I6" s="1">
        <v>160</v>
      </c>
      <c r="J6" s="1" t="s">
        <v>16</v>
      </c>
      <c r="K6" s="1" t="s">
        <v>19</v>
      </c>
      <c r="L6" s="1" t="s">
        <v>41</v>
      </c>
      <c r="M6" s="1" t="s">
        <v>41</v>
      </c>
      <c r="N6" s="1" t="s">
        <v>45</v>
      </c>
      <c r="O6" s="3" t="str">
        <f t="shared" ref="O6" si="2">IFERROR(H6/GCD(H6,I6)&amp;":"&amp;I6/GCD(H6,I6),"n.a")</f>
        <v>3:4</v>
      </c>
      <c r="P6" s="3" t="str">
        <f t="shared" ref="P6" si="3">IF(OR(H6="n.a",I6="n.a"),"n.a",IF(H6&gt;I6,"horizontal",IF(I6&gt;H6,"vertical",IF(H6=I6,"square",""))))</f>
        <v>vertical</v>
      </c>
      <c r="Q6" s="1" t="s">
        <v>9</v>
      </c>
      <c r="R6" s="1" t="s">
        <v>10</v>
      </c>
    </row>
    <row r="7" spans="1:21" x14ac:dyDescent="0.3">
      <c r="A7" t="s">
        <v>14</v>
      </c>
      <c r="B7" t="s">
        <v>41</v>
      </c>
      <c r="C7">
        <v>1</v>
      </c>
      <c r="D7" t="s">
        <v>20</v>
      </c>
      <c r="E7" s="7">
        <v>1</v>
      </c>
      <c r="F7" s="1">
        <v>105</v>
      </c>
      <c r="G7" s="1">
        <v>55</v>
      </c>
      <c r="H7" s="1">
        <v>120</v>
      </c>
      <c r="I7" s="1">
        <v>80</v>
      </c>
      <c r="J7" s="1" t="s">
        <v>21</v>
      </c>
      <c r="K7" s="1"/>
      <c r="L7" s="1" t="s">
        <v>41</v>
      </c>
      <c r="M7" s="1" t="s">
        <v>41</v>
      </c>
      <c r="N7" s="1" t="s">
        <v>45</v>
      </c>
      <c r="O7" s="3" t="str">
        <f t="shared" ref="O7:O54" si="4">IFERROR(H7/GCD(H7,I7)&amp;":"&amp;I7/GCD(H7,I7),"n.a")</f>
        <v>3:2</v>
      </c>
      <c r="P7" s="3" t="str">
        <f t="shared" ref="P7:P54" si="5">IF(OR(H7="n.a",I7="n.a"),"n.a",IF(H7&gt;I7,"horizontal",IF(I7&gt;H7,"vertical",IF(H7=I7,"square",""))))</f>
        <v>horizontal</v>
      </c>
      <c r="Q7" s="1" t="s">
        <v>9</v>
      </c>
      <c r="R7" s="1" t="s">
        <v>10</v>
      </c>
    </row>
    <row r="8" spans="1:21" x14ac:dyDescent="0.3">
      <c r="A8" t="s">
        <v>14</v>
      </c>
      <c r="B8" t="s">
        <v>41</v>
      </c>
      <c r="C8">
        <v>1</v>
      </c>
      <c r="D8" t="s">
        <v>20</v>
      </c>
      <c r="E8" s="7">
        <v>2</v>
      </c>
      <c r="F8" s="1">
        <v>105</v>
      </c>
      <c r="G8" s="1">
        <v>150</v>
      </c>
      <c r="H8" s="1">
        <v>120</v>
      </c>
      <c r="I8" s="1">
        <v>80</v>
      </c>
      <c r="J8" s="1" t="s">
        <v>21</v>
      </c>
      <c r="K8" s="1"/>
      <c r="L8" s="1" t="s">
        <v>41</v>
      </c>
      <c r="M8" s="1" t="s">
        <v>41</v>
      </c>
      <c r="N8" s="1" t="s">
        <v>45</v>
      </c>
      <c r="O8" s="3" t="str">
        <f t="shared" si="4"/>
        <v>3:2</v>
      </c>
      <c r="P8" s="3" t="str">
        <f t="shared" si="5"/>
        <v>horizontal</v>
      </c>
      <c r="Q8" s="1" t="s">
        <v>9</v>
      </c>
      <c r="R8" s="1" t="s">
        <v>10</v>
      </c>
    </row>
    <row r="9" spans="1:21" x14ac:dyDescent="0.3">
      <c r="A9" t="s">
        <v>14</v>
      </c>
      <c r="B9" t="s">
        <v>41</v>
      </c>
      <c r="C9">
        <v>1</v>
      </c>
      <c r="D9" t="s">
        <v>22</v>
      </c>
      <c r="E9" s="7">
        <v>1</v>
      </c>
      <c r="F9" s="1">
        <v>60</v>
      </c>
      <c r="G9" s="1">
        <v>100</v>
      </c>
      <c r="H9" s="1">
        <v>80</v>
      </c>
      <c r="I9" s="1">
        <v>107</v>
      </c>
      <c r="J9" s="1" t="s">
        <v>21</v>
      </c>
      <c r="K9" s="1"/>
      <c r="L9" s="1" t="s">
        <v>41</v>
      </c>
      <c r="M9" s="1" t="s">
        <v>41</v>
      </c>
      <c r="N9" s="1" t="s">
        <v>45</v>
      </c>
      <c r="O9" s="3" t="str">
        <f>IFERROR(H9/GCD(H9,I9)&amp;":"&amp;I9/GCD(H9,I9),"n.a")</f>
        <v>80:107</v>
      </c>
      <c r="P9" s="3" t="str">
        <f t="shared" si="5"/>
        <v>vertical</v>
      </c>
      <c r="Q9" s="1" t="s">
        <v>9</v>
      </c>
      <c r="R9" s="1" t="s">
        <v>10</v>
      </c>
    </row>
    <row r="10" spans="1:21" x14ac:dyDescent="0.3">
      <c r="A10" t="s">
        <v>14</v>
      </c>
      <c r="B10" t="s">
        <v>41</v>
      </c>
      <c r="C10">
        <v>1</v>
      </c>
      <c r="D10" t="s">
        <v>22</v>
      </c>
      <c r="E10" s="7">
        <v>2</v>
      </c>
      <c r="F10" s="1">
        <v>150</v>
      </c>
      <c r="G10" s="1">
        <v>100</v>
      </c>
      <c r="H10" s="1">
        <v>80</v>
      </c>
      <c r="I10" s="1">
        <v>107</v>
      </c>
      <c r="J10" s="1" t="s">
        <v>21</v>
      </c>
      <c r="K10" s="1"/>
      <c r="L10" s="1" t="s">
        <v>41</v>
      </c>
      <c r="M10" s="1" t="s">
        <v>41</v>
      </c>
      <c r="N10" s="1" t="s">
        <v>45</v>
      </c>
      <c r="O10" s="3" t="str">
        <f t="shared" si="4"/>
        <v>80:107</v>
      </c>
      <c r="P10" s="3" t="str">
        <f t="shared" si="5"/>
        <v>vertical</v>
      </c>
      <c r="Q10" s="1" t="s">
        <v>9</v>
      </c>
      <c r="R10" s="1" t="s">
        <v>10</v>
      </c>
    </row>
    <row r="11" spans="1:21" x14ac:dyDescent="0.3">
      <c r="A11" t="s">
        <v>14</v>
      </c>
      <c r="B11" t="s">
        <v>41</v>
      </c>
      <c r="C11">
        <v>2</v>
      </c>
      <c r="D11" t="s">
        <v>15</v>
      </c>
      <c r="E11" s="7">
        <v>1</v>
      </c>
      <c r="F11" s="1">
        <v>95</v>
      </c>
      <c r="G11" s="1">
        <v>55</v>
      </c>
      <c r="H11" s="1">
        <v>120</v>
      </c>
      <c r="I11" s="1">
        <v>80</v>
      </c>
      <c r="J11" s="1" t="s">
        <v>21</v>
      </c>
      <c r="K11" s="1"/>
      <c r="L11" s="1" t="s">
        <v>41</v>
      </c>
      <c r="M11" s="1" t="s">
        <v>41</v>
      </c>
      <c r="N11" s="1" t="s">
        <v>45</v>
      </c>
      <c r="O11" s="3" t="str">
        <f t="shared" si="4"/>
        <v>3:2</v>
      </c>
      <c r="P11" s="3" t="str">
        <f t="shared" si="5"/>
        <v>horizontal</v>
      </c>
      <c r="Q11" s="1" t="s">
        <v>9</v>
      </c>
      <c r="R11" s="1" t="s">
        <v>10</v>
      </c>
    </row>
    <row r="12" spans="1:21" x14ac:dyDescent="0.3">
      <c r="A12" t="s">
        <v>14</v>
      </c>
      <c r="B12" t="s">
        <v>41</v>
      </c>
      <c r="C12">
        <v>2</v>
      </c>
      <c r="D12" t="s">
        <v>15</v>
      </c>
      <c r="E12" s="7">
        <v>2</v>
      </c>
      <c r="F12" s="1">
        <v>95</v>
      </c>
      <c r="G12" s="1">
        <v>145</v>
      </c>
      <c r="H12" s="1">
        <v>120</v>
      </c>
      <c r="I12" s="1">
        <v>80</v>
      </c>
      <c r="J12" s="1" t="s">
        <v>21</v>
      </c>
      <c r="K12" s="1"/>
      <c r="L12" s="1" t="s">
        <v>41</v>
      </c>
      <c r="M12" s="1" t="s">
        <v>41</v>
      </c>
      <c r="N12" s="1" t="s">
        <v>45</v>
      </c>
      <c r="O12" s="3" t="str">
        <f t="shared" si="4"/>
        <v>3:2</v>
      </c>
      <c r="P12" s="3" t="str">
        <f t="shared" si="5"/>
        <v>horizontal</v>
      </c>
      <c r="Q12" s="1" t="s">
        <v>9</v>
      </c>
      <c r="R12" s="1" t="s">
        <v>10</v>
      </c>
    </row>
    <row r="13" spans="1:21" x14ac:dyDescent="0.3">
      <c r="A13" t="s">
        <v>14</v>
      </c>
      <c r="B13" t="s">
        <v>41</v>
      </c>
      <c r="C13">
        <v>2</v>
      </c>
      <c r="D13" t="s">
        <v>18</v>
      </c>
      <c r="E13" s="7">
        <v>1</v>
      </c>
      <c r="F13" s="1">
        <v>50</v>
      </c>
      <c r="G13" s="1">
        <v>130</v>
      </c>
      <c r="H13" s="1">
        <v>80</v>
      </c>
      <c r="I13" s="1">
        <v>107</v>
      </c>
      <c r="J13" s="1" t="s">
        <v>21</v>
      </c>
      <c r="K13" s="1"/>
      <c r="L13" s="1" t="s">
        <v>41</v>
      </c>
      <c r="M13" s="1" t="s">
        <v>41</v>
      </c>
      <c r="N13" s="1" t="s">
        <v>45</v>
      </c>
      <c r="O13" s="3" t="str">
        <f t="shared" si="4"/>
        <v>80:107</v>
      </c>
      <c r="P13" s="3" t="str">
        <f t="shared" si="5"/>
        <v>vertical</v>
      </c>
      <c r="Q13" s="1" t="s">
        <v>9</v>
      </c>
      <c r="R13" s="1" t="s">
        <v>10</v>
      </c>
    </row>
    <row r="14" spans="1:21" x14ac:dyDescent="0.3">
      <c r="A14" t="s">
        <v>14</v>
      </c>
      <c r="B14" t="s">
        <v>41</v>
      </c>
      <c r="C14">
        <v>2</v>
      </c>
      <c r="D14" t="s">
        <v>18</v>
      </c>
      <c r="E14" s="7">
        <v>2</v>
      </c>
      <c r="F14" s="1">
        <v>140</v>
      </c>
      <c r="G14" s="1">
        <v>70</v>
      </c>
      <c r="H14" s="1">
        <v>80</v>
      </c>
      <c r="I14" s="1">
        <v>107</v>
      </c>
      <c r="J14" s="1" t="s">
        <v>21</v>
      </c>
      <c r="K14" s="1"/>
      <c r="L14" s="1" t="s">
        <v>41</v>
      </c>
      <c r="M14" s="1" t="s">
        <v>41</v>
      </c>
      <c r="N14" s="1" t="s">
        <v>45</v>
      </c>
      <c r="O14" s="3" t="str">
        <f t="shared" si="4"/>
        <v>80:107</v>
      </c>
      <c r="P14" s="3" t="str">
        <f t="shared" si="5"/>
        <v>vertical</v>
      </c>
      <c r="Q14" s="1" t="s">
        <v>9</v>
      </c>
      <c r="R14" s="1" t="s">
        <v>10</v>
      </c>
    </row>
    <row r="15" spans="1:21" x14ac:dyDescent="0.3">
      <c r="A15" t="s">
        <v>14</v>
      </c>
      <c r="B15" t="s">
        <v>41</v>
      </c>
      <c r="C15">
        <v>2</v>
      </c>
      <c r="D15" t="s">
        <v>20</v>
      </c>
      <c r="E15" s="7">
        <v>1</v>
      </c>
      <c r="F15" s="1">
        <v>105</v>
      </c>
      <c r="G15" s="1">
        <v>100</v>
      </c>
      <c r="H15" s="1">
        <v>150</v>
      </c>
      <c r="I15" s="1">
        <v>100</v>
      </c>
      <c r="J15" s="1" t="s">
        <v>21</v>
      </c>
      <c r="K15" s="1"/>
      <c r="L15" s="1" t="s">
        <v>41</v>
      </c>
      <c r="M15" s="1" t="s">
        <v>41</v>
      </c>
      <c r="N15" s="1" t="s">
        <v>45</v>
      </c>
      <c r="O15" s="3" t="str">
        <f t="shared" si="4"/>
        <v>3:2</v>
      </c>
      <c r="P15" s="3" t="str">
        <f t="shared" si="5"/>
        <v>horizontal</v>
      </c>
      <c r="Q15" s="1" t="s">
        <v>9</v>
      </c>
      <c r="R15" s="1" t="s">
        <v>10</v>
      </c>
    </row>
    <row r="16" spans="1:21" x14ac:dyDescent="0.3">
      <c r="A16" t="s">
        <v>14</v>
      </c>
      <c r="B16" t="s">
        <v>41</v>
      </c>
      <c r="C16">
        <v>2</v>
      </c>
      <c r="D16" t="s">
        <v>22</v>
      </c>
      <c r="E16" s="7">
        <v>1</v>
      </c>
      <c r="F16" s="1">
        <v>105</v>
      </c>
      <c r="G16" s="1">
        <v>100</v>
      </c>
      <c r="H16" s="1">
        <v>120</v>
      </c>
      <c r="I16" s="1">
        <v>160</v>
      </c>
      <c r="J16" s="1" t="s">
        <v>21</v>
      </c>
      <c r="K16" s="1"/>
      <c r="L16" s="1" t="s">
        <v>41</v>
      </c>
      <c r="M16" s="1" t="s">
        <v>41</v>
      </c>
      <c r="N16" s="1" t="s">
        <v>45</v>
      </c>
      <c r="O16" s="3" t="str">
        <f t="shared" si="4"/>
        <v>3:4</v>
      </c>
      <c r="P16" s="3" t="str">
        <f t="shared" si="5"/>
        <v>vertical</v>
      </c>
      <c r="Q16" s="1" t="s">
        <v>9</v>
      </c>
      <c r="R16" s="1" t="s">
        <v>10</v>
      </c>
    </row>
    <row r="17" spans="1:18" s="2" customFormat="1" x14ac:dyDescent="0.3">
      <c r="A17" t="s">
        <v>14</v>
      </c>
      <c r="B17" t="s">
        <v>41</v>
      </c>
      <c r="C17">
        <v>3</v>
      </c>
      <c r="D17" t="s">
        <v>15</v>
      </c>
      <c r="E17" s="7">
        <v>1</v>
      </c>
      <c r="F17" s="1">
        <v>95</v>
      </c>
      <c r="G17" s="1">
        <v>55</v>
      </c>
      <c r="H17" s="1">
        <v>120</v>
      </c>
      <c r="I17" s="1">
        <v>80</v>
      </c>
      <c r="J17" s="1" t="s">
        <v>21</v>
      </c>
      <c r="K17" s="1"/>
      <c r="L17" s="1" t="s">
        <v>41</v>
      </c>
      <c r="M17" s="1" t="s">
        <v>41</v>
      </c>
      <c r="N17" s="1" t="s">
        <v>45</v>
      </c>
      <c r="O17" s="3" t="str">
        <f t="shared" si="4"/>
        <v>3:2</v>
      </c>
      <c r="P17" s="3" t="str">
        <f t="shared" si="5"/>
        <v>horizontal</v>
      </c>
      <c r="Q17" s="1" t="s">
        <v>9</v>
      </c>
      <c r="R17" s="1" t="s">
        <v>10</v>
      </c>
    </row>
    <row r="18" spans="1:18" s="2" customFormat="1" x14ac:dyDescent="0.3">
      <c r="A18" t="s">
        <v>14</v>
      </c>
      <c r="B18" t="s">
        <v>41</v>
      </c>
      <c r="C18">
        <v>3</v>
      </c>
      <c r="D18" t="s">
        <v>15</v>
      </c>
      <c r="E18" s="7">
        <v>2</v>
      </c>
      <c r="F18" s="1">
        <v>95</v>
      </c>
      <c r="G18" s="1">
        <v>145</v>
      </c>
      <c r="H18" s="1">
        <v>120</v>
      </c>
      <c r="I18" s="1">
        <v>80</v>
      </c>
      <c r="J18" s="1" t="s">
        <v>21</v>
      </c>
      <c r="K18" s="1"/>
      <c r="L18" s="1" t="s">
        <v>41</v>
      </c>
      <c r="M18" s="1" t="s">
        <v>41</v>
      </c>
      <c r="N18" s="1" t="s">
        <v>45</v>
      </c>
      <c r="O18" s="3" t="str">
        <f t="shared" si="4"/>
        <v>3:2</v>
      </c>
      <c r="P18" s="3" t="str">
        <f t="shared" si="5"/>
        <v>horizontal</v>
      </c>
      <c r="Q18" s="1" t="s">
        <v>9</v>
      </c>
      <c r="R18" s="1" t="s">
        <v>10</v>
      </c>
    </row>
    <row r="19" spans="1:18" s="2" customFormat="1" x14ac:dyDescent="0.3">
      <c r="A19" t="s">
        <v>14</v>
      </c>
      <c r="B19" t="s">
        <v>41</v>
      </c>
      <c r="C19">
        <v>3</v>
      </c>
      <c r="D19" t="s">
        <v>18</v>
      </c>
      <c r="E19" s="7">
        <v>1</v>
      </c>
      <c r="F19" s="1">
        <v>50</v>
      </c>
      <c r="G19" s="1">
        <v>70</v>
      </c>
      <c r="H19" s="1">
        <v>80</v>
      </c>
      <c r="I19" s="1">
        <v>107</v>
      </c>
      <c r="J19" s="1" t="s">
        <v>21</v>
      </c>
      <c r="K19" s="1"/>
      <c r="L19" s="1" t="s">
        <v>41</v>
      </c>
      <c r="M19" s="1" t="s">
        <v>41</v>
      </c>
      <c r="N19" s="1" t="s">
        <v>45</v>
      </c>
      <c r="O19" s="3" t="str">
        <f t="shared" si="4"/>
        <v>80:107</v>
      </c>
      <c r="P19" s="3" t="str">
        <f t="shared" si="5"/>
        <v>vertical</v>
      </c>
      <c r="Q19" s="1" t="s">
        <v>9</v>
      </c>
      <c r="R19" s="1" t="s">
        <v>10</v>
      </c>
    </row>
    <row r="20" spans="1:18" s="2" customFormat="1" x14ac:dyDescent="0.3">
      <c r="A20" t="s">
        <v>14</v>
      </c>
      <c r="B20" t="s">
        <v>41</v>
      </c>
      <c r="C20">
        <v>3</v>
      </c>
      <c r="D20" t="s">
        <v>18</v>
      </c>
      <c r="E20" s="7">
        <v>2</v>
      </c>
      <c r="F20" s="1">
        <v>140</v>
      </c>
      <c r="G20" s="1">
        <v>130</v>
      </c>
      <c r="H20" s="1">
        <v>80</v>
      </c>
      <c r="I20" s="1">
        <v>107</v>
      </c>
      <c r="J20" s="1" t="s">
        <v>21</v>
      </c>
      <c r="K20" s="1"/>
      <c r="L20" s="1" t="s">
        <v>41</v>
      </c>
      <c r="M20" s="1" t="s">
        <v>41</v>
      </c>
      <c r="N20" s="1" t="s">
        <v>45</v>
      </c>
      <c r="O20" s="3" t="str">
        <f t="shared" si="4"/>
        <v>80:107</v>
      </c>
      <c r="P20" s="3" t="str">
        <f t="shared" si="5"/>
        <v>vertical</v>
      </c>
      <c r="Q20" s="1" t="s">
        <v>9</v>
      </c>
      <c r="R20" s="1" t="s">
        <v>10</v>
      </c>
    </row>
    <row r="21" spans="1:18" s="2" customFormat="1" x14ac:dyDescent="0.3">
      <c r="A21" t="s">
        <v>14</v>
      </c>
      <c r="B21" t="s">
        <v>41</v>
      </c>
      <c r="C21">
        <v>3</v>
      </c>
      <c r="D21" t="s">
        <v>20</v>
      </c>
      <c r="E21" s="7">
        <v>1</v>
      </c>
      <c r="F21" s="1">
        <v>105</v>
      </c>
      <c r="G21" s="1">
        <v>70</v>
      </c>
      <c r="H21" s="1">
        <v>150</v>
      </c>
      <c r="I21" s="1">
        <v>100</v>
      </c>
      <c r="J21" s="1" t="s">
        <v>16</v>
      </c>
      <c r="K21" s="1" t="s">
        <v>23</v>
      </c>
      <c r="L21" s="1" t="s">
        <v>41</v>
      </c>
      <c r="M21" s="1" t="s">
        <v>41</v>
      </c>
      <c r="N21" s="1" t="s">
        <v>45</v>
      </c>
      <c r="O21" s="3" t="str">
        <f t="shared" si="4"/>
        <v>3:2</v>
      </c>
      <c r="P21" s="3" t="str">
        <f t="shared" si="5"/>
        <v>horizontal</v>
      </c>
      <c r="Q21" s="1" t="s">
        <v>9</v>
      </c>
      <c r="R21" s="1" t="s">
        <v>10</v>
      </c>
    </row>
    <row r="22" spans="1:18" s="2" customFormat="1" x14ac:dyDescent="0.3">
      <c r="A22" t="s">
        <v>14</v>
      </c>
      <c r="B22" t="s">
        <v>41</v>
      </c>
      <c r="C22">
        <v>3</v>
      </c>
      <c r="D22" t="s">
        <v>22</v>
      </c>
      <c r="E22" s="7">
        <v>1</v>
      </c>
      <c r="F22" s="1">
        <v>85</v>
      </c>
      <c r="G22" s="1">
        <v>100</v>
      </c>
      <c r="H22" s="1">
        <v>120</v>
      </c>
      <c r="I22" s="1">
        <v>160</v>
      </c>
      <c r="J22" s="1" t="s">
        <v>16</v>
      </c>
      <c r="K22" s="1" t="s">
        <v>24</v>
      </c>
      <c r="L22" s="1" t="s">
        <v>41</v>
      </c>
      <c r="M22" s="1" t="s">
        <v>41</v>
      </c>
      <c r="N22" s="1" t="s">
        <v>45</v>
      </c>
      <c r="O22" s="3" t="str">
        <f t="shared" si="4"/>
        <v>3:4</v>
      </c>
      <c r="P22" s="3" t="str">
        <f t="shared" si="5"/>
        <v>vertical</v>
      </c>
      <c r="Q22" s="1" t="s">
        <v>9</v>
      </c>
      <c r="R22" s="1" t="s">
        <v>10</v>
      </c>
    </row>
    <row r="23" spans="1:18" s="2" customFormat="1" x14ac:dyDescent="0.3">
      <c r="A23" t="s">
        <v>14</v>
      </c>
      <c r="B23" t="s">
        <v>41</v>
      </c>
      <c r="C23">
        <v>4</v>
      </c>
      <c r="D23" t="s">
        <v>15</v>
      </c>
      <c r="E23" s="7">
        <v>1</v>
      </c>
      <c r="F23" s="1">
        <v>95</v>
      </c>
      <c r="G23" s="1">
        <v>55</v>
      </c>
      <c r="H23" s="1">
        <v>120</v>
      </c>
      <c r="I23" s="1">
        <v>80</v>
      </c>
      <c r="J23" s="1" t="s">
        <v>21</v>
      </c>
      <c r="K23" s="1"/>
      <c r="L23" s="1" t="s">
        <v>41</v>
      </c>
      <c r="M23" s="1" t="s">
        <v>41</v>
      </c>
      <c r="N23" s="1" t="s">
        <v>46</v>
      </c>
      <c r="O23" s="3" t="str">
        <f t="shared" si="4"/>
        <v>3:2</v>
      </c>
      <c r="P23" s="3" t="str">
        <f t="shared" si="5"/>
        <v>horizontal</v>
      </c>
      <c r="Q23" s="1" t="s">
        <v>9</v>
      </c>
      <c r="R23" s="1" t="s">
        <v>10</v>
      </c>
    </row>
    <row r="24" spans="1:18" s="2" customFormat="1" x14ac:dyDescent="0.3">
      <c r="A24" t="s">
        <v>14</v>
      </c>
      <c r="B24" t="s">
        <v>41</v>
      </c>
      <c r="C24">
        <v>4</v>
      </c>
      <c r="D24" t="s">
        <v>15</v>
      </c>
      <c r="E24" s="7">
        <v>2</v>
      </c>
      <c r="F24" s="1">
        <v>95</v>
      </c>
      <c r="G24" s="1">
        <v>145</v>
      </c>
      <c r="H24" s="1">
        <v>120</v>
      </c>
      <c r="I24" s="1">
        <v>80</v>
      </c>
      <c r="J24" s="1" t="s">
        <v>21</v>
      </c>
      <c r="K24" s="1"/>
      <c r="L24" s="1" t="s">
        <v>41</v>
      </c>
      <c r="M24" s="1" t="s">
        <v>41</v>
      </c>
      <c r="N24" s="1" t="s">
        <v>46</v>
      </c>
      <c r="O24" s="3" t="str">
        <f t="shared" si="4"/>
        <v>3:2</v>
      </c>
      <c r="P24" s="3" t="str">
        <f t="shared" si="5"/>
        <v>horizontal</v>
      </c>
      <c r="Q24" s="1" t="s">
        <v>9</v>
      </c>
      <c r="R24" s="1" t="s">
        <v>10</v>
      </c>
    </row>
    <row r="25" spans="1:18" s="2" customFormat="1" x14ac:dyDescent="0.3">
      <c r="A25" t="s">
        <v>14</v>
      </c>
      <c r="B25" t="s">
        <v>41</v>
      </c>
      <c r="C25">
        <v>4</v>
      </c>
      <c r="D25" t="s">
        <v>18</v>
      </c>
      <c r="E25" s="7">
        <v>1</v>
      </c>
      <c r="F25" s="1">
        <v>50</v>
      </c>
      <c r="G25" s="1">
        <v>100</v>
      </c>
      <c r="H25" s="1">
        <v>80</v>
      </c>
      <c r="I25" s="1">
        <v>107</v>
      </c>
      <c r="J25" s="1" t="s">
        <v>21</v>
      </c>
      <c r="K25" s="1"/>
      <c r="L25" s="1" t="s">
        <v>41</v>
      </c>
      <c r="M25" s="1" t="s">
        <v>41</v>
      </c>
      <c r="N25" s="1" t="s">
        <v>46</v>
      </c>
      <c r="O25" s="3" t="str">
        <f t="shared" si="4"/>
        <v>80:107</v>
      </c>
      <c r="P25" s="3" t="str">
        <f t="shared" si="5"/>
        <v>vertical</v>
      </c>
      <c r="Q25" s="1" t="s">
        <v>9</v>
      </c>
      <c r="R25" s="1" t="s">
        <v>10</v>
      </c>
    </row>
    <row r="26" spans="1:18" s="2" customFormat="1" x14ac:dyDescent="0.3">
      <c r="A26" t="s">
        <v>14</v>
      </c>
      <c r="B26" t="s">
        <v>41</v>
      </c>
      <c r="C26">
        <v>4</v>
      </c>
      <c r="D26" t="s">
        <v>18</v>
      </c>
      <c r="E26" s="7">
        <v>2</v>
      </c>
      <c r="F26" s="1">
        <v>140</v>
      </c>
      <c r="G26" s="1">
        <v>100</v>
      </c>
      <c r="H26" s="1">
        <v>80</v>
      </c>
      <c r="I26" s="1">
        <v>107</v>
      </c>
      <c r="J26" s="1" t="s">
        <v>21</v>
      </c>
      <c r="K26" s="1"/>
      <c r="L26" s="1" t="s">
        <v>41</v>
      </c>
      <c r="M26" s="1" t="s">
        <v>41</v>
      </c>
      <c r="N26" s="1" t="s">
        <v>46</v>
      </c>
      <c r="O26" s="3" t="str">
        <f t="shared" si="4"/>
        <v>80:107</v>
      </c>
      <c r="P26" s="3" t="str">
        <f t="shared" si="5"/>
        <v>vertical</v>
      </c>
      <c r="Q26" s="1" t="s">
        <v>9</v>
      </c>
      <c r="R26" s="1" t="s">
        <v>10</v>
      </c>
    </row>
    <row r="27" spans="1:18" s="2" customFormat="1" x14ac:dyDescent="0.3">
      <c r="A27" t="s">
        <v>14</v>
      </c>
      <c r="B27" t="s">
        <v>41</v>
      </c>
      <c r="C27">
        <v>4</v>
      </c>
      <c r="D27" t="s">
        <v>20</v>
      </c>
      <c r="E27" s="7">
        <v>1</v>
      </c>
      <c r="F27" s="1">
        <v>105</v>
      </c>
      <c r="G27" s="1">
        <v>100</v>
      </c>
      <c r="H27" s="1">
        <v>150</v>
      </c>
      <c r="I27" s="1">
        <v>100</v>
      </c>
      <c r="J27" s="1" t="s">
        <v>16</v>
      </c>
      <c r="K27" s="1" t="s">
        <v>17</v>
      </c>
      <c r="L27" s="1" t="s">
        <v>41</v>
      </c>
      <c r="M27" s="1" t="s">
        <v>41</v>
      </c>
      <c r="N27" s="1" t="s">
        <v>46</v>
      </c>
      <c r="O27" s="3" t="str">
        <f t="shared" si="4"/>
        <v>3:2</v>
      </c>
      <c r="P27" s="3" t="str">
        <f t="shared" si="5"/>
        <v>horizontal</v>
      </c>
      <c r="Q27" s="1" t="s">
        <v>9</v>
      </c>
      <c r="R27" s="1" t="s">
        <v>10</v>
      </c>
    </row>
    <row r="28" spans="1:18" s="2" customFormat="1" x14ac:dyDescent="0.3">
      <c r="A28" t="s">
        <v>14</v>
      </c>
      <c r="B28" t="s">
        <v>41</v>
      </c>
      <c r="C28">
        <v>4</v>
      </c>
      <c r="D28" t="s">
        <v>22</v>
      </c>
      <c r="E28" s="7">
        <v>1</v>
      </c>
      <c r="F28" s="1">
        <v>105</v>
      </c>
      <c r="G28" s="1">
        <v>90</v>
      </c>
      <c r="H28" s="1">
        <v>120</v>
      </c>
      <c r="I28" s="1">
        <v>160</v>
      </c>
      <c r="J28" s="1" t="s">
        <v>16</v>
      </c>
      <c r="K28" s="1" t="s">
        <v>19</v>
      </c>
      <c r="L28" s="1" t="s">
        <v>41</v>
      </c>
      <c r="M28" s="1" t="s">
        <v>41</v>
      </c>
      <c r="N28" s="1" t="s">
        <v>46</v>
      </c>
      <c r="O28" s="3" t="str">
        <f t="shared" si="4"/>
        <v>3:4</v>
      </c>
      <c r="P28" s="3" t="str">
        <f t="shared" si="5"/>
        <v>vertical</v>
      </c>
      <c r="Q28" s="1" t="s">
        <v>9</v>
      </c>
      <c r="R28" s="1" t="s">
        <v>10</v>
      </c>
    </row>
    <row r="29" spans="1:18" s="2" customFormat="1" x14ac:dyDescent="0.3">
      <c r="A29" t="s">
        <v>14</v>
      </c>
      <c r="B29" t="s">
        <v>41</v>
      </c>
      <c r="C29">
        <v>5</v>
      </c>
      <c r="D29" t="s">
        <v>15</v>
      </c>
      <c r="E29" s="7">
        <v>1</v>
      </c>
      <c r="F29" s="1">
        <v>75</v>
      </c>
      <c r="G29" s="1">
        <v>55</v>
      </c>
      <c r="H29" s="1">
        <v>120</v>
      </c>
      <c r="I29" s="1">
        <v>80</v>
      </c>
      <c r="J29" s="1" t="s">
        <v>21</v>
      </c>
      <c r="K29" s="1"/>
      <c r="L29" s="1" t="s">
        <v>41</v>
      </c>
      <c r="M29" s="1" t="s">
        <v>41</v>
      </c>
      <c r="N29" s="1" t="s">
        <v>45</v>
      </c>
      <c r="O29" s="3" t="str">
        <f t="shared" si="4"/>
        <v>3:2</v>
      </c>
      <c r="P29" s="3" t="str">
        <f t="shared" si="5"/>
        <v>horizontal</v>
      </c>
      <c r="Q29" s="1" t="s">
        <v>9</v>
      </c>
      <c r="R29" s="1" t="s">
        <v>10</v>
      </c>
    </row>
    <row r="30" spans="1:18" s="2" customFormat="1" x14ac:dyDescent="0.3">
      <c r="A30" t="s">
        <v>14</v>
      </c>
      <c r="B30" t="s">
        <v>41</v>
      </c>
      <c r="C30">
        <v>5</v>
      </c>
      <c r="D30" t="s">
        <v>15</v>
      </c>
      <c r="E30" s="7">
        <v>2</v>
      </c>
      <c r="F30" s="1">
        <v>115</v>
      </c>
      <c r="G30" s="1">
        <v>145</v>
      </c>
      <c r="H30" s="1">
        <v>120</v>
      </c>
      <c r="I30" s="1">
        <v>80</v>
      </c>
      <c r="J30" s="1" t="s">
        <v>21</v>
      </c>
      <c r="K30" s="1"/>
      <c r="L30" s="1" t="s">
        <v>41</v>
      </c>
      <c r="M30" s="1" t="s">
        <v>41</v>
      </c>
      <c r="N30" s="1" t="s">
        <v>45</v>
      </c>
      <c r="O30" s="3" t="str">
        <f t="shared" si="4"/>
        <v>3:2</v>
      </c>
      <c r="P30" s="3" t="str">
        <f t="shared" si="5"/>
        <v>horizontal</v>
      </c>
      <c r="Q30" s="1" t="s">
        <v>9</v>
      </c>
      <c r="R30" s="1" t="s">
        <v>10</v>
      </c>
    </row>
    <row r="31" spans="1:18" s="2" customFormat="1" x14ac:dyDescent="0.3">
      <c r="A31" t="s">
        <v>14</v>
      </c>
      <c r="B31" t="s">
        <v>41</v>
      </c>
      <c r="C31">
        <v>5</v>
      </c>
      <c r="D31" t="s">
        <v>18</v>
      </c>
      <c r="E31" s="7">
        <v>1</v>
      </c>
      <c r="F31" s="1">
        <v>50</v>
      </c>
      <c r="G31" s="1">
        <v>70</v>
      </c>
      <c r="H31" s="1">
        <v>80</v>
      </c>
      <c r="I31" s="1">
        <v>107</v>
      </c>
      <c r="J31" s="1" t="s">
        <v>21</v>
      </c>
      <c r="K31" s="1"/>
      <c r="L31" s="1" t="s">
        <v>41</v>
      </c>
      <c r="M31" s="1" t="s">
        <v>41</v>
      </c>
      <c r="N31" s="1" t="s">
        <v>45</v>
      </c>
      <c r="O31" s="3" t="str">
        <f t="shared" si="4"/>
        <v>80:107</v>
      </c>
      <c r="P31" s="3" t="str">
        <f t="shared" si="5"/>
        <v>vertical</v>
      </c>
      <c r="Q31" s="1" t="s">
        <v>9</v>
      </c>
      <c r="R31" s="1" t="s">
        <v>10</v>
      </c>
    </row>
    <row r="32" spans="1:18" s="2" customFormat="1" x14ac:dyDescent="0.3">
      <c r="A32" t="s">
        <v>14</v>
      </c>
      <c r="B32" t="s">
        <v>41</v>
      </c>
      <c r="C32">
        <v>5</v>
      </c>
      <c r="D32" t="s">
        <v>18</v>
      </c>
      <c r="E32" s="7">
        <v>2</v>
      </c>
      <c r="F32" s="1">
        <v>140</v>
      </c>
      <c r="G32" s="1">
        <v>130</v>
      </c>
      <c r="H32" s="1">
        <v>80</v>
      </c>
      <c r="I32" s="1">
        <v>107</v>
      </c>
      <c r="J32" s="1" t="s">
        <v>21</v>
      </c>
      <c r="K32" s="1"/>
      <c r="L32" s="1" t="s">
        <v>41</v>
      </c>
      <c r="M32" s="1" t="s">
        <v>41</v>
      </c>
      <c r="N32" s="1" t="s">
        <v>45</v>
      </c>
      <c r="O32" s="3" t="str">
        <f t="shared" si="4"/>
        <v>80:107</v>
      </c>
      <c r="P32" s="3" t="str">
        <f t="shared" si="5"/>
        <v>vertical</v>
      </c>
      <c r="Q32" s="1" t="s">
        <v>9</v>
      </c>
      <c r="R32" s="1" t="s">
        <v>10</v>
      </c>
    </row>
    <row r="33" spans="1:18" s="2" customFormat="1" x14ac:dyDescent="0.3">
      <c r="A33" t="s">
        <v>14</v>
      </c>
      <c r="B33" t="s">
        <v>41</v>
      </c>
      <c r="C33">
        <v>5</v>
      </c>
      <c r="D33" t="s">
        <v>20</v>
      </c>
      <c r="E33" s="7">
        <v>1</v>
      </c>
      <c r="F33" s="1">
        <v>105</v>
      </c>
      <c r="G33" s="1">
        <v>130</v>
      </c>
      <c r="H33" s="1">
        <v>150</v>
      </c>
      <c r="I33" s="1">
        <v>100</v>
      </c>
      <c r="J33" s="1" t="s">
        <v>16</v>
      </c>
      <c r="K33" s="1" t="s">
        <v>25</v>
      </c>
      <c r="L33" s="1" t="s">
        <v>41</v>
      </c>
      <c r="M33" s="1" t="s">
        <v>41</v>
      </c>
      <c r="N33" s="1" t="s">
        <v>45</v>
      </c>
      <c r="O33" s="3" t="str">
        <f t="shared" si="4"/>
        <v>3:2</v>
      </c>
      <c r="P33" s="3" t="str">
        <f t="shared" si="5"/>
        <v>horizontal</v>
      </c>
      <c r="Q33" s="1" t="s">
        <v>9</v>
      </c>
      <c r="R33" s="1" t="s">
        <v>10</v>
      </c>
    </row>
    <row r="34" spans="1:18" s="2" customFormat="1" x14ac:dyDescent="0.3">
      <c r="A34" t="s">
        <v>14</v>
      </c>
      <c r="B34" t="s">
        <v>41</v>
      </c>
      <c r="C34">
        <v>5</v>
      </c>
      <c r="D34" t="s">
        <v>22</v>
      </c>
      <c r="E34" s="7">
        <v>1</v>
      </c>
      <c r="F34" s="1">
        <v>105</v>
      </c>
      <c r="G34" s="1">
        <v>110</v>
      </c>
      <c r="H34" s="1">
        <v>120</v>
      </c>
      <c r="I34" s="1">
        <v>160</v>
      </c>
      <c r="J34" s="1" t="s">
        <v>16</v>
      </c>
      <c r="K34" s="1" t="s">
        <v>26</v>
      </c>
      <c r="L34" s="1" t="s">
        <v>41</v>
      </c>
      <c r="M34" s="1" t="s">
        <v>41</v>
      </c>
      <c r="N34" s="1" t="s">
        <v>45</v>
      </c>
      <c r="O34" s="3" t="str">
        <f t="shared" si="4"/>
        <v>3:4</v>
      </c>
      <c r="P34" s="3" t="str">
        <f t="shared" si="5"/>
        <v>vertical</v>
      </c>
      <c r="Q34" s="1" t="s">
        <v>9</v>
      </c>
      <c r="R34" s="1" t="s">
        <v>10</v>
      </c>
    </row>
    <row r="35" spans="1:18" s="2" customFormat="1" x14ac:dyDescent="0.3">
      <c r="A35" t="s">
        <v>14</v>
      </c>
      <c r="B35" t="s">
        <v>41</v>
      </c>
      <c r="C35">
        <v>6</v>
      </c>
      <c r="D35" t="s">
        <v>15</v>
      </c>
      <c r="E35" s="7">
        <v>1</v>
      </c>
      <c r="F35" s="1">
        <v>95</v>
      </c>
      <c r="G35" s="1">
        <v>100</v>
      </c>
      <c r="H35" s="1">
        <v>150</v>
      </c>
      <c r="I35" s="1">
        <v>100</v>
      </c>
      <c r="J35" s="1" t="s">
        <v>16</v>
      </c>
      <c r="K35" s="1" t="s">
        <v>27</v>
      </c>
      <c r="L35" s="1" t="s">
        <v>41</v>
      </c>
      <c r="M35" s="1" t="s">
        <v>41</v>
      </c>
      <c r="N35" s="1" t="s">
        <v>47</v>
      </c>
      <c r="O35" s="3" t="str">
        <f t="shared" si="4"/>
        <v>3:2</v>
      </c>
      <c r="P35" s="3" t="str">
        <f t="shared" si="5"/>
        <v>horizontal</v>
      </c>
      <c r="Q35" s="1" t="s">
        <v>9</v>
      </c>
      <c r="R35" s="1" t="s">
        <v>10</v>
      </c>
    </row>
    <row r="36" spans="1:18" s="2" customFormat="1" x14ac:dyDescent="0.3">
      <c r="A36" t="s">
        <v>14</v>
      </c>
      <c r="B36" t="s">
        <v>41</v>
      </c>
      <c r="C36">
        <v>6</v>
      </c>
      <c r="D36" t="s">
        <v>18</v>
      </c>
      <c r="E36" s="7">
        <v>1</v>
      </c>
      <c r="F36" s="1">
        <v>95</v>
      </c>
      <c r="G36" s="1">
        <v>90</v>
      </c>
      <c r="H36" s="1">
        <v>120</v>
      </c>
      <c r="I36" s="1">
        <v>160</v>
      </c>
      <c r="J36" s="1" t="s">
        <v>16</v>
      </c>
      <c r="K36" s="1" t="s">
        <v>27</v>
      </c>
      <c r="L36" s="1" t="s">
        <v>41</v>
      </c>
      <c r="M36" s="1" t="s">
        <v>41</v>
      </c>
      <c r="N36" s="1" t="s">
        <v>47</v>
      </c>
      <c r="O36" s="3" t="str">
        <f t="shared" si="4"/>
        <v>3:4</v>
      </c>
      <c r="P36" s="3" t="str">
        <f t="shared" si="5"/>
        <v>vertical</v>
      </c>
      <c r="Q36" s="1" t="s">
        <v>9</v>
      </c>
      <c r="R36" s="1" t="s">
        <v>10</v>
      </c>
    </row>
    <row r="37" spans="1:18" s="2" customFormat="1" x14ac:dyDescent="0.3">
      <c r="A37" t="s">
        <v>14</v>
      </c>
      <c r="B37" t="s">
        <v>41</v>
      </c>
      <c r="C37">
        <v>6</v>
      </c>
      <c r="D37" t="s">
        <v>20</v>
      </c>
      <c r="E37" s="7">
        <v>1</v>
      </c>
      <c r="F37" s="1">
        <v>105</v>
      </c>
      <c r="G37" s="1">
        <v>100</v>
      </c>
      <c r="H37" s="1">
        <v>150</v>
      </c>
      <c r="I37" s="1">
        <v>100</v>
      </c>
      <c r="J37" s="1" t="s">
        <v>16</v>
      </c>
      <c r="K37" s="1" t="s">
        <v>28</v>
      </c>
      <c r="L37" s="1" t="s">
        <v>41</v>
      </c>
      <c r="M37" s="1" t="s">
        <v>41</v>
      </c>
      <c r="N37" s="1" t="s">
        <v>45</v>
      </c>
      <c r="O37" s="3" t="str">
        <f t="shared" si="4"/>
        <v>3:2</v>
      </c>
      <c r="P37" s="3" t="str">
        <f t="shared" si="5"/>
        <v>horizontal</v>
      </c>
      <c r="Q37" s="1" t="s">
        <v>9</v>
      </c>
      <c r="R37" s="1" t="s">
        <v>10</v>
      </c>
    </row>
    <row r="38" spans="1:18" s="2" customFormat="1" x14ac:dyDescent="0.3">
      <c r="A38" t="s">
        <v>14</v>
      </c>
      <c r="B38" t="s">
        <v>41</v>
      </c>
      <c r="C38">
        <v>6</v>
      </c>
      <c r="D38" t="s">
        <v>22</v>
      </c>
      <c r="E38" s="7">
        <v>1</v>
      </c>
      <c r="F38" s="1">
        <v>105</v>
      </c>
      <c r="G38" s="1">
        <v>90</v>
      </c>
      <c r="H38" s="1">
        <v>120</v>
      </c>
      <c r="I38" s="1">
        <v>160</v>
      </c>
      <c r="J38" s="1" t="s">
        <v>16</v>
      </c>
      <c r="K38" s="1" t="s">
        <v>28</v>
      </c>
      <c r="L38" s="1" t="s">
        <v>41</v>
      </c>
      <c r="M38" s="1" t="s">
        <v>41</v>
      </c>
      <c r="N38" s="1" t="s">
        <v>45</v>
      </c>
      <c r="O38" s="3" t="str">
        <f t="shared" si="4"/>
        <v>3:4</v>
      </c>
      <c r="P38" s="3" t="str">
        <f t="shared" si="5"/>
        <v>vertical</v>
      </c>
      <c r="Q38" s="1" t="s">
        <v>9</v>
      </c>
      <c r="R38" s="1" t="s">
        <v>10</v>
      </c>
    </row>
    <row r="39" spans="1:18" s="2" customFormat="1" x14ac:dyDescent="0.3">
      <c r="A39" t="s">
        <v>29</v>
      </c>
      <c r="B39" t="s">
        <v>37</v>
      </c>
      <c r="C39">
        <v>1</v>
      </c>
      <c r="D39" t="s">
        <v>30</v>
      </c>
      <c r="E39" t="s">
        <v>30</v>
      </c>
      <c r="F39" s="1" t="s">
        <v>30</v>
      </c>
      <c r="G39" s="1" t="s">
        <v>30</v>
      </c>
      <c r="H39" s="1" t="s">
        <v>30</v>
      </c>
      <c r="I39" s="1" t="s">
        <v>30</v>
      </c>
      <c r="J39" s="1" t="s">
        <v>16</v>
      </c>
      <c r="K39" s="1" t="s">
        <v>31</v>
      </c>
      <c r="L39" s="1" t="s">
        <v>21</v>
      </c>
      <c r="M39" s="1" t="s">
        <v>16</v>
      </c>
      <c r="N39" s="1" t="s">
        <v>46</v>
      </c>
      <c r="O39" s="3" t="str">
        <f t="shared" si="4"/>
        <v>n.a</v>
      </c>
      <c r="P39" s="3" t="str">
        <f t="shared" si="5"/>
        <v>square</v>
      </c>
      <c r="Q39" s="1" t="s">
        <v>9</v>
      </c>
      <c r="R39" s="1" t="s">
        <v>10</v>
      </c>
    </row>
    <row r="40" spans="1:18" s="2" customFormat="1" x14ac:dyDescent="0.3">
      <c r="A40" t="s">
        <v>29</v>
      </c>
      <c r="B40" t="s">
        <v>43</v>
      </c>
      <c r="C40">
        <v>1</v>
      </c>
      <c r="D40" t="s">
        <v>22</v>
      </c>
      <c r="E40" s="7">
        <v>1</v>
      </c>
      <c r="F40" s="1">
        <v>105</v>
      </c>
      <c r="G40" s="1">
        <v>100</v>
      </c>
      <c r="H40" s="1">
        <v>165</v>
      </c>
      <c r="I40" s="1">
        <v>175</v>
      </c>
      <c r="J40" s="1" t="s">
        <v>21</v>
      </c>
      <c r="K40" s="1"/>
      <c r="L40" s="1" t="s">
        <v>16</v>
      </c>
      <c r="M40" s="1" t="s">
        <v>21</v>
      </c>
      <c r="N40" s="1" t="s">
        <v>46</v>
      </c>
      <c r="O40" s="3" t="str">
        <f t="shared" si="4"/>
        <v>33:35</v>
      </c>
      <c r="P40" s="3" t="str">
        <f t="shared" si="5"/>
        <v>vertical</v>
      </c>
      <c r="Q40" s="1" t="s">
        <v>9</v>
      </c>
      <c r="R40" s="1" t="s">
        <v>10</v>
      </c>
    </row>
    <row r="41" spans="1:18" s="2" customFormat="1" x14ac:dyDescent="0.3">
      <c r="A41" t="s">
        <v>29</v>
      </c>
      <c r="B41" t="s">
        <v>38</v>
      </c>
      <c r="C41">
        <v>2</v>
      </c>
      <c r="D41" t="s">
        <v>30</v>
      </c>
      <c r="E41" t="s">
        <v>30</v>
      </c>
      <c r="F41" s="1" t="s">
        <v>30</v>
      </c>
      <c r="G41" s="1" t="s">
        <v>30</v>
      </c>
      <c r="H41" s="1" t="s">
        <v>30</v>
      </c>
      <c r="I41" s="1" t="s">
        <v>30</v>
      </c>
      <c r="J41" s="1" t="s">
        <v>16</v>
      </c>
      <c r="K41" s="1" t="s">
        <v>31</v>
      </c>
      <c r="L41" s="1" t="s">
        <v>21</v>
      </c>
      <c r="M41" s="1" t="s">
        <v>16</v>
      </c>
      <c r="N41" s="1" t="s">
        <v>45</v>
      </c>
      <c r="O41" s="3" t="str">
        <f t="shared" si="4"/>
        <v>n.a</v>
      </c>
      <c r="P41" s="3" t="str">
        <f t="shared" si="5"/>
        <v>square</v>
      </c>
      <c r="Q41" s="1" t="s">
        <v>9</v>
      </c>
      <c r="R41" s="1" t="s">
        <v>10</v>
      </c>
    </row>
    <row r="42" spans="1:18" s="2" customFormat="1" x14ac:dyDescent="0.3">
      <c r="A42" t="s">
        <v>29</v>
      </c>
      <c r="B42" t="s">
        <v>41</v>
      </c>
      <c r="C42">
        <v>2</v>
      </c>
      <c r="D42" t="s">
        <v>32</v>
      </c>
      <c r="E42" s="7">
        <v>1</v>
      </c>
      <c r="F42" s="1">
        <v>100</v>
      </c>
      <c r="G42" s="1">
        <v>100</v>
      </c>
      <c r="H42" s="1">
        <v>200</v>
      </c>
      <c r="I42" s="1">
        <v>200</v>
      </c>
      <c r="J42" s="1" t="s">
        <v>21</v>
      </c>
      <c r="K42" s="1"/>
      <c r="L42" s="1" t="s">
        <v>21</v>
      </c>
      <c r="M42" s="1" t="s">
        <v>21</v>
      </c>
      <c r="N42" s="1" t="s">
        <v>48</v>
      </c>
      <c r="O42" s="3" t="str">
        <f t="shared" si="4"/>
        <v>1:1</v>
      </c>
      <c r="P42" s="3" t="str">
        <f t="shared" si="5"/>
        <v>square</v>
      </c>
      <c r="Q42" s="1" t="s">
        <v>9</v>
      </c>
      <c r="R42" s="1" t="s">
        <v>10</v>
      </c>
    </row>
    <row r="43" spans="1:18" s="2" customFormat="1" x14ac:dyDescent="0.3">
      <c r="A43" t="s">
        <v>29</v>
      </c>
      <c r="B43" t="s">
        <v>39</v>
      </c>
      <c r="C43">
        <v>3</v>
      </c>
      <c r="D43" t="s">
        <v>15</v>
      </c>
      <c r="E43" s="7">
        <v>1</v>
      </c>
      <c r="F43" s="1">
        <v>95</v>
      </c>
      <c r="G43" s="1">
        <v>130</v>
      </c>
      <c r="H43" s="1">
        <v>150</v>
      </c>
      <c r="I43" s="1">
        <v>100</v>
      </c>
      <c r="J43" s="1" t="s">
        <v>16</v>
      </c>
      <c r="K43" s="1" t="s">
        <v>33</v>
      </c>
      <c r="L43" s="1" t="s">
        <v>16</v>
      </c>
      <c r="M43" s="1" t="s">
        <v>16</v>
      </c>
      <c r="N43" s="1" t="s">
        <v>49</v>
      </c>
      <c r="O43" s="3" t="str">
        <f t="shared" si="4"/>
        <v>3:2</v>
      </c>
      <c r="P43" s="3" t="str">
        <f t="shared" si="5"/>
        <v>horizontal</v>
      </c>
      <c r="Q43" s="1" t="s">
        <v>9</v>
      </c>
      <c r="R43" s="1" t="s">
        <v>10</v>
      </c>
    </row>
    <row r="44" spans="1:18" s="2" customFormat="1" x14ac:dyDescent="0.3">
      <c r="A44" t="s">
        <v>29</v>
      </c>
      <c r="B44" t="s">
        <v>39</v>
      </c>
      <c r="C44">
        <v>3</v>
      </c>
      <c r="D44" t="s">
        <v>18</v>
      </c>
      <c r="E44" s="7">
        <v>1</v>
      </c>
      <c r="F44" s="1">
        <v>76</v>
      </c>
      <c r="G44" s="1">
        <v>115</v>
      </c>
      <c r="H44" s="1">
        <v>87</v>
      </c>
      <c r="I44" s="1">
        <v>130</v>
      </c>
      <c r="J44" s="1" t="s">
        <v>16</v>
      </c>
      <c r="K44" s="1" t="s">
        <v>52</v>
      </c>
      <c r="L44" s="1" t="s">
        <v>16</v>
      </c>
      <c r="M44" s="1" t="s">
        <v>16</v>
      </c>
      <c r="N44" s="1" t="s">
        <v>49</v>
      </c>
      <c r="O44" s="3" t="str">
        <f t="shared" si="4"/>
        <v>87:130</v>
      </c>
      <c r="P44" s="3" t="str">
        <f t="shared" si="5"/>
        <v>vertical</v>
      </c>
      <c r="Q44" s="1" t="s">
        <v>9</v>
      </c>
      <c r="R44" s="1" t="s">
        <v>10</v>
      </c>
    </row>
    <row r="45" spans="1:18" s="2" customFormat="1" x14ac:dyDescent="0.3">
      <c r="A45" t="s">
        <v>29</v>
      </c>
      <c r="B45" t="s">
        <v>41</v>
      </c>
      <c r="C45">
        <v>3</v>
      </c>
      <c r="D45" t="s">
        <v>20</v>
      </c>
      <c r="E45" s="7">
        <v>1</v>
      </c>
      <c r="F45" s="1">
        <v>105</v>
      </c>
      <c r="G45" s="1">
        <v>100</v>
      </c>
      <c r="H45" s="1">
        <v>150</v>
      </c>
      <c r="I45" s="1">
        <v>100</v>
      </c>
      <c r="J45" s="1" t="s">
        <v>21</v>
      </c>
      <c r="K45" s="1"/>
      <c r="L45" s="1" t="s">
        <v>21</v>
      </c>
      <c r="M45" s="1" t="s">
        <v>21</v>
      </c>
      <c r="N45" s="1" t="s">
        <v>45</v>
      </c>
      <c r="O45" s="3" t="str">
        <f t="shared" si="4"/>
        <v>3:2</v>
      </c>
      <c r="P45" s="3" t="str">
        <f t="shared" si="5"/>
        <v>horizontal</v>
      </c>
      <c r="Q45" s="1" t="s">
        <v>9</v>
      </c>
      <c r="R45" s="1" t="s">
        <v>10</v>
      </c>
    </row>
    <row r="46" spans="1:18" s="2" customFormat="1" x14ac:dyDescent="0.3">
      <c r="A46" t="s">
        <v>29</v>
      </c>
      <c r="B46" t="s">
        <v>41</v>
      </c>
      <c r="C46">
        <v>3</v>
      </c>
      <c r="D46" t="s">
        <v>22</v>
      </c>
      <c r="E46" s="7">
        <v>1</v>
      </c>
      <c r="F46" s="1">
        <v>105</v>
      </c>
      <c r="G46" s="1">
        <v>100</v>
      </c>
      <c r="H46" s="1">
        <v>120</v>
      </c>
      <c r="I46" s="1">
        <v>160</v>
      </c>
      <c r="J46" s="1" t="s">
        <v>21</v>
      </c>
      <c r="K46" s="1"/>
      <c r="L46" s="1" t="s">
        <v>21</v>
      </c>
      <c r="M46" s="1" t="s">
        <v>21</v>
      </c>
      <c r="N46" s="1" t="s">
        <v>45</v>
      </c>
      <c r="O46" s="3" t="str">
        <f t="shared" si="4"/>
        <v>3:4</v>
      </c>
      <c r="P46" s="3" t="str">
        <f t="shared" si="5"/>
        <v>vertical</v>
      </c>
      <c r="Q46" s="1" t="s">
        <v>9</v>
      </c>
      <c r="R46" s="1" t="s">
        <v>10</v>
      </c>
    </row>
    <row r="47" spans="1:18" s="2" customFormat="1" x14ac:dyDescent="0.3">
      <c r="A47" t="s">
        <v>29</v>
      </c>
      <c r="B47" t="s">
        <v>40</v>
      </c>
      <c r="C47">
        <v>4</v>
      </c>
      <c r="D47" t="s">
        <v>15</v>
      </c>
      <c r="E47" s="7">
        <v>1</v>
      </c>
      <c r="F47" s="1">
        <v>95</v>
      </c>
      <c r="G47" s="1">
        <v>130</v>
      </c>
      <c r="H47" s="1">
        <v>150</v>
      </c>
      <c r="I47" s="1">
        <v>100</v>
      </c>
      <c r="J47" s="1" t="s">
        <v>16</v>
      </c>
      <c r="K47" s="1" t="s">
        <v>34</v>
      </c>
      <c r="L47" s="1" t="s">
        <v>16</v>
      </c>
      <c r="M47" s="1" t="s">
        <v>16</v>
      </c>
      <c r="N47" s="1" t="s">
        <v>45</v>
      </c>
      <c r="O47" s="3" t="str">
        <f t="shared" si="4"/>
        <v>3:2</v>
      </c>
      <c r="P47" s="3" t="str">
        <f t="shared" si="5"/>
        <v>horizontal</v>
      </c>
      <c r="Q47" s="1" t="s">
        <v>9</v>
      </c>
      <c r="R47" s="1" t="s">
        <v>10</v>
      </c>
    </row>
    <row r="48" spans="1:18" s="2" customFormat="1" x14ac:dyDescent="0.3">
      <c r="A48" t="s">
        <v>29</v>
      </c>
      <c r="B48" t="s">
        <v>40</v>
      </c>
      <c r="C48">
        <v>4</v>
      </c>
      <c r="D48" t="s">
        <v>18</v>
      </c>
      <c r="E48" s="7">
        <v>1</v>
      </c>
      <c r="F48" s="1">
        <v>95</v>
      </c>
      <c r="G48" s="1">
        <v>118</v>
      </c>
      <c r="H48" s="1">
        <v>93</v>
      </c>
      <c r="I48" s="1">
        <v>139</v>
      </c>
      <c r="J48" s="1" t="s">
        <v>16</v>
      </c>
      <c r="K48" s="1" t="s">
        <v>55</v>
      </c>
      <c r="L48" s="1" t="s">
        <v>16</v>
      </c>
      <c r="M48" s="1" t="s">
        <v>16</v>
      </c>
      <c r="N48" s="1" t="s">
        <v>45</v>
      </c>
      <c r="O48" s="3" t="str">
        <f t="shared" si="4"/>
        <v>93:139</v>
      </c>
      <c r="P48" s="3" t="str">
        <f t="shared" si="5"/>
        <v>vertical</v>
      </c>
      <c r="Q48" s="1" t="s">
        <v>9</v>
      </c>
      <c r="R48" s="1" t="s">
        <v>10</v>
      </c>
    </row>
    <row r="49" spans="1:18" s="2" customFormat="1" x14ac:dyDescent="0.3">
      <c r="A49" t="s">
        <v>29</v>
      </c>
      <c r="B49" t="s">
        <v>41</v>
      </c>
      <c r="C49">
        <v>4</v>
      </c>
      <c r="D49" t="s">
        <v>20</v>
      </c>
      <c r="E49" s="7">
        <v>1</v>
      </c>
      <c r="F49" s="1">
        <v>105</v>
      </c>
      <c r="G49" s="1">
        <v>70</v>
      </c>
      <c r="H49" s="1">
        <v>150</v>
      </c>
      <c r="I49" s="1">
        <v>100</v>
      </c>
      <c r="J49" s="1" t="s">
        <v>21</v>
      </c>
      <c r="K49" s="1" t="s">
        <v>23</v>
      </c>
      <c r="L49" s="1" t="s">
        <v>21</v>
      </c>
      <c r="M49" s="1" t="s">
        <v>21</v>
      </c>
      <c r="N49" s="1" t="s">
        <v>45</v>
      </c>
      <c r="O49" s="3" t="str">
        <f t="shared" si="4"/>
        <v>3:2</v>
      </c>
      <c r="P49" s="3" t="str">
        <f t="shared" si="5"/>
        <v>horizontal</v>
      </c>
      <c r="Q49" s="1" t="s">
        <v>9</v>
      </c>
      <c r="R49" s="1" t="s">
        <v>10</v>
      </c>
    </row>
    <row r="50" spans="1:18" s="2" customFormat="1" x14ac:dyDescent="0.3">
      <c r="A50" t="s">
        <v>29</v>
      </c>
      <c r="B50" t="s">
        <v>41</v>
      </c>
      <c r="C50">
        <v>4</v>
      </c>
      <c r="D50" t="s">
        <v>22</v>
      </c>
      <c r="E50" s="7">
        <v>1</v>
      </c>
      <c r="F50" s="1">
        <v>105</v>
      </c>
      <c r="G50" s="1">
        <v>100</v>
      </c>
      <c r="H50" s="1">
        <v>120</v>
      </c>
      <c r="I50" s="1">
        <v>160</v>
      </c>
      <c r="J50" s="1" t="s">
        <v>21</v>
      </c>
      <c r="K50" s="1" t="s">
        <v>28</v>
      </c>
      <c r="L50" s="1" t="s">
        <v>21</v>
      </c>
      <c r="M50" s="1" t="s">
        <v>21</v>
      </c>
      <c r="N50" s="1" t="s">
        <v>45</v>
      </c>
      <c r="O50" s="3" t="str">
        <f t="shared" si="4"/>
        <v>3:4</v>
      </c>
      <c r="P50" s="3" t="str">
        <f t="shared" si="5"/>
        <v>vertical</v>
      </c>
      <c r="Q50" s="1" t="s">
        <v>9</v>
      </c>
      <c r="R50" s="1" t="s">
        <v>10</v>
      </c>
    </row>
    <row r="51" spans="1:18" s="2" customFormat="1" x14ac:dyDescent="0.3">
      <c r="A51" t="s">
        <v>29</v>
      </c>
      <c r="B51" t="s">
        <v>42</v>
      </c>
      <c r="C51">
        <v>5</v>
      </c>
      <c r="D51" t="s">
        <v>15</v>
      </c>
      <c r="E51" s="7">
        <v>1</v>
      </c>
      <c r="F51" s="1">
        <v>95</v>
      </c>
      <c r="G51" s="1">
        <v>100</v>
      </c>
      <c r="H51" s="1">
        <v>150</v>
      </c>
      <c r="I51" s="1">
        <v>100</v>
      </c>
      <c r="J51" s="1" t="s">
        <v>16</v>
      </c>
      <c r="K51" s="1" t="s">
        <v>27</v>
      </c>
      <c r="L51" s="1" t="s">
        <v>16</v>
      </c>
      <c r="M51" s="1" t="s">
        <v>16</v>
      </c>
      <c r="N51" s="1" t="s">
        <v>47</v>
      </c>
      <c r="O51" s="3" t="str">
        <f t="shared" si="4"/>
        <v>3:2</v>
      </c>
      <c r="P51" s="3" t="str">
        <f t="shared" si="5"/>
        <v>horizontal</v>
      </c>
      <c r="Q51" s="1" t="s">
        <v>9</v>
      </c>
      <c r="R51" s="1" t="s">
        <v>10</v>
      </c>
    </row>
    <row r="52" spans="1:18" s="2" customFormat="1" x14ac:dyDescent="0.3">
      <c r="A52" t="s">
        <v>29</v>
      </c>
      <c r="B52" t="s">
        <v>42</v>
      </c>
      <c r="C52">
        <v>5</v>
      </c>
      <c r="D52" t="s">
        <v>20</v>
      </c>
      <c r="E52" s="7">
        <v>1</v>
      </c>
      <c r="F52" s="1">
        <v>105</v>
      </c>
      <c r="G52" s="1">
        <v>100</v>
      </c>
      <c r="H52" s="1">
        <v>150</v>
      </c>
      <c r="I52" s="1">
        <v>100</v>
      </c>
      <c r="J52" s="1" t="s">
        <v>16</v>
      </c>
      <c r="K52" s="1" t="s">
        <v>27</v>
      </c>
      <c r="L52" s="1" t="s">
        <v>16</v>
      </c>
      <c r="M52" s="1" t="s">
        <v>16</v>
      </c>
      <c r="N52" s="1" t="s">
        <v>45</v>
      </c>
      <c r="O52" s="3" t="str">
        <f t="shared" si="4"/>
        <v>3:2</v>
      </c>
      <c r="P52" s="3" t="str">
        <f t="shared" si="5"/>
        <v>horizontal</v>
      </c>
      <c r="Q52" s="1" t="s">
        <v>9</v>
      </c>
      <c r="R52" s="1" t="s">
        <v>10</v>
      </c>
    </row>
    <row r="53" spans="1:18" s="2" customFormat="1" x14ac:dyDescent="0.3">
      <c r="A53" t="s">
        <v>29</v>
      </c>
      <c r="B53" t="s">
        <v>42</v>
      </c>
      <c r="C53">
        <v>5</v>
      </c>
      <c r="D53" t="s">
        <v>18</v>
      </c>
      <c r="E53" s="7">
        <v>1</v>
      </c>
      <c r="F53" s="1">
        <v>95</v>
      </c>
      <c r="G53" s="1">
        <v>100</v>
      </c>
      <c r="H53" s="1">
        <v>110</v>
      </c>
      <c r="I53" s="1">
        <v>140</v>
      </c>
      <c r="J53" s="1" t="s">
        <v>16</v>
      </c>
      <c r="K53" s="1" t="s">
        <v>35</v>
      </c>
      <c r="L53" s="1" t="s">
        <v>16</v>
      </c>
      <c r="M53" s="1" t="s">
        <v>16</v>
      </c>
      <c r="N53" s="1" t="s">
        <v>47</v>
      </c>
      <c r="O53" s="3" t="str">
        <f t="shared" si="4"/>
        <v>11:14</v>
      </c>
      <c r="P53" s="3" t="str">
        <f t="shared" si="5"/>
        <v>vertical</v>
      </c>
      <c r="Q53" s="1" t="s">
        <v>9</v>
      </c>
      <c r="R53" s="1" t="s">
        <v>10</v>
      </c>
    </row>
    <row r="54" spans="1:18" s="2" customFormat="1" x14ac:dyDescent="0.3">
      <c r="A54" t="s">
        <v>29</v>
      </c>
      <c r="B54" t="s">
        <v>42</v>
      </c>
      <c r="C54">
        <v>5</v>
      </c>
      <c r="D54" t="s">
        <v>22</v>
      </c>
      <c r="E54" s="7">
        <v>1</v>
      </c>
      <c r="F54" s="1">
        <v>105</v>
      </c>
      <c r="G54" s="1">
        <v>100</v>
      </c>
      <c r="H54" s="1">
        <v>110</v>
      </c>
      <c r="I54" s="1">
        <v>140</v>
      </c>
      <c r="J54" s="1" t="s">
        <v>16</v>
      </c>
      <c r="K54" s="1" t="s">
        <v>35</v>
      </c>
      <c r="L54" s="1" t="s">
        <v>16</v>
      </c>
      <c r="M54" s="1" t="s">
        <v>16</v>
      </c>
      <c r="N54" s="1" t="s">
        <v>45</v>
      </c>
      <c r="O54" s="3" t="str">
        <f t="shared" si="4"/>
        <v>11:14</v>
      </c>
      <c r="P54" s="3" t="str">
        <f t="shared" si="5"/>
        <v>vertical</v>
      </c>
      <c r="Q54" s="1" t="s">
        <v>9</v>
      </c>
      <c r="R54" s="1" t="s">
        <v>10</v>
      </c>
    </row>
  </sheetData>
  <autoFilter ref="A2:U54" xr:uid="{43943F8A-9DD3-45F5-AFDE-1C3C61A8304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26623-5445-4F89-ADCF-BD279937DA4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Sizing new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Evgeniy Myasin</dc:creator>
  <cp:lastModifiedBy>Evgeniy Myasin</cp:lastModifiedBy>
  <dcterms:created xsi:type="dcterms:W3CDTF">2026-05-17T11:04:36Z</dcterms:created>
  <dcterms:modified xsi:type="dcterms:W3CDTF">2026-05-20T13:16:38Z</dcterms:modified>
</cp:coreProperties>
</file>