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evgmy\aevia-test\assets\"/>
    </mc:Choice>
  </mc:AlternateContent>
  <xr:revisionPtr revIDLastSave="0" documentId="13_ncr:1_{65CF6A1C-2D42-41A5-BE63-5D91062865A2}" xr6:coauthVersionLast="47" xr6:coauthVersionMax="47" xr10:uidLastSave="{00000000-0000-0000-0000-000000000000}"/>
  <bookViews>
    <workbookView xWindow="-108" yWindow="-108" windowWidth="23256" windowHeight="12456" firstSheet="2" activeTab="7" xr2:uid="{00000000-000D-0000-FFFF-FFFF00000000}"/>
  </bookViews>
  <sheets>
    <sheet name="Periodika" sheetId="1" state="hidden" r:id="rId1"/>
    <sheet name="Business case - old" sheetId="2" state="hidden" r:id="rId2"/>
    <sheet name="Business case - Quarterly view" sheetId="3" r:id="rId3"/>
    <sheet name="Marketing" sheetId="4" r:id="rId4"/>
    <sheet name="Sheet2" sheetId="5" state="hidden" r:id="rId5"/>
    <sheet name="Tax &amp; Founder income" sheetId="6" r:id="rId6"/>
    <sheet name="Salaries" sheetId="7" state="hidden" r:id="rId7"/>
    <sheet name="Assumptions" sheetId="8" r:id="rId8"/>
    <sheet name="Sheet1" sheetId="9" state="hidden" r:id="rId9"/>
    <sheet name="Journi sanity check" sheetId="10" state="hidden" r:id="rId10"/>
    <sheet name="Fotobook.at" sheetId="11" state="hidden" r:id="rId11"/>
    <sheet name="Printing facilities" sheetId="12" state="hidden" r:id="rId12"/>
    <sheet name="Grants and accelerators" sheetId="13" state="hidden" r:id="rId13"/>
    <sheet name="papers" sheetId="14"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4" l="1"/>
  <c r="L12" i="4" s="1"/>
  <c r="M12" i="4" s="1"/>
  <c r="N12" i="4" s="1"/>
  <c r="O12" i="4" s="1"/>
  <c r="P12" i="4" s="1"/>
  <c r="Q12" i="4" s="1"/>
  <c r="R12" i="4" s="1"/>
  <c r="K10" i="14"/>
  <c r="L11" i="12"/>
  <c r="C24" i="11"/>
  <c r="C30" i="11" s="1"/>
  <c r="C32" i="11" s="1"/>
  <c r="C33" i="11" s="1"/>
  <c r="C36" i="11" s="1"/>
  <c r="C22" i="11"/>
  <c r="C20" i="11"/>
  <c r="F4" i="11"/>
  <c r="D10" i="11" s="1"/>
  <c r="E10" i="11" s="1"/>
  <c r="F10" i="11" s="1"/>
  <c r="C34" i="10"/>
  <c r="C36" i="10" s="1"/>
  <c r="C37" i="10" s="1"/>
  <c r="C32" i="10"/>
  <c r="C26" i="10"/>
  <c r="C24" i="10"/>
  <c r="E15" i="10"/>
  <c r="F15" i="10" s="1"/>
  <c r="C15" i="10"/>
  <c r="D15" i="10" s="1"/>
  <c r="F4" i="10"/>
  <c r="D14" i="10" s="1"/>
  <c r="E14" i="10" s="1"/>
  <c r="F14" i="10" s="1"/>
  <c r="F111" i="8"/>
  <c r="F106" i="8"/>
  <c r="F105" i="8"/>
  <c r="F104" i="8"/>
  <c r="F103" i="8"/>
  <c r="F102" i="8"/>
  <c r="F101" i="8"/>
  <c r="F93" i="8"/>
  <c r="G82" i="8"/>
  <c r="H82" i="8" s="1"/>
  <c r="P61" i="8"/>
  <c r="R61" i="8" s="1"/>
  <c r="Q61" i="8" s="1"/>
  <c r="R60" i="8"/>
  <c r="S60" i="8" s="1"/>
  <c r="S64" i="8" s="1"/>
  <c r="P60" i="8"/>
  <c r="H47" i="8"/>
  <c r="I47" i="8" s="1"/>
  <c r="J47" i="8" s="1"/>
  <c r="K47" i="8" s="1"/>
  <c r="L47" i="8" s="1"/>
  <c r="M47" i="8" s="1"/>
  <c r="N47" i="8" s="1"/>
  <c r="G47" i="8"/>
  <c r="J45" i="8"/>
  <c r="K45" i="8" s="1"/>
  <c r="L45" i="8" s="1"/>
  <c r="M45" i="8" s="1"/>
  <c r="N45" i="8" s="1"/>
  <c r="H45" i="8"/>
  <c r="I45" i="8" s="1"/>
  <c r="G45" i="8"/>
  <c r="H44" i="8"/>
  <c r="I44" i="8" s="1"/>
  <c r="J44" i="8" s="1"/>
  <c r="K44" i="8" s="1"/>
  <c r="L44" i="8" s="1"/>
  <c r="M44" i="8" s="1"/>
  <c r="N44" i="8" s="1"/>
  <c r="G44" i="8"/>
  <c r="H43" i="8"/>
  <c r="I43" i="8" s="1"/>
  <c r="J43" i="8" s="1"/>
  <c r="K43" i="8" s="1"/>
  <c r="L43" i="8" s="1"/>
  <c r="M43" i="8" s="1"/>
  <c r="N43" i="8" s="1"/>
  <c r="G43" i="8"/>
  <c r="H42" i="8"/>
  <c r="I42" i="8" s="1"/>
  <c r="J42" i="8" s="1"/>
  <c r="K42" i="8" s="1"/>
  <c r="L42" i="8" s="1"/>
  <c r="M42" i="8" s="1"/>
  <c r="N42" i="8" s="1"/>
  <c r="G42" i="8"/>
  <c r="J41" i="8"/>
  <c r="K41" i="8" s="1"/>
  <c r="L41" i="8" s="1"/>
  <c r="M41" i="8" s="1"/>
  <c r="N41" i="8" s="1"/>
  <c r="H41" i="8"/>
  <c r="I41" i="8" s="1"/>
  <c r="G41" i="8"/>
  <c r="H40" i="8"/>
  <c r="I40" i="8" s="1"/>
  <c r="G40" i="8"/>
  <c r="H39" i="8"/>
  <c r="G39" i="8"/>
  <c r="F39" i="8"/>
  <c r="N38" i="8"/>
  <c r="M38" i="8"/>
  <c r="L38" i="8"/>
  <c r="K38" i="8"/>
  <c r="F38" i="8"/>
  <c r="H37" i="8"/>
  <c r="H38" i="8" s="1"/>
  <c r="G37" i="8"/>
  <c r="G38" i="8" s="1"/>
  <c r="I34" i="8"/>
  <c r="J34" i="8" s="1"/>
  <c r="K34" i="8" s="1"/>
  <c r="L34" i="8" s="1"/>
  <c r="M34" i="8" s="1"/>
  <c r="N34" i="8" s="1"/>
  <c r="G34" i="8"/>
  <c r="H34" i="8" s="1"/>
  <c r="K32" i="8"/>
  <c r="L32" i="8" s="1"/>
  <c r="M32" i="8" s="1"/>
  <c r="N32" i="8" s="1"/>
  <c r="I32" i="8"/>
  <c r="J32" i="8" s="1"/>
  <c r="H32" i="8"/>
  <c r="G32" i="8"/>
  <c r="G31" i="8"/>
  <c r="H31" i="8" s="1"/>
  <c r="I31" i="8" s="1"/>
  <c r="J31" i="8" s="1"/>
  <c r="K31" i="8" s="1"/>
  <c r="L31" i="8" s="1"/>
  <c r="M31" i="8" s="1"/>
  <c r="N31" i="8" s="1"/>
  <c r="H30" i="8"/>
  <c r="I30" i="8" s="1"/>
  <c r="J30" i="8" s="1"/>
  <c r="K30" i="8" s="1"/>
  <c r="L30" i="8" s="1"/>
  <c r="M30" i="8" s="1"/>
  <c r="N30" i="8" s="1"/>
  <c r="G30" i="8"/>
  <c r="I29" i="8"/>
  <c r="J29" i="8" s="1"/>
  <c r="K29" i="8" s="1"/>
  <c r="L29" i="8" s="1"/>
  <c r="M29" i="8" s="1"/>
  <c r="N29" i="8" s="1"/>
  <c r="G29" i="8"/>
  <c r="H29" i="8" s="1"/>
  <c r="H28" i="8"/>
  <c r="I28" i="8" s="1"/>
  <c r="J28" i="8" s="1"/>
  <c r="K28" i="8" s="1"/>
  <c r="L28" i="8" s="1"/>
  <c r="M28" i="8" s="1"/>
  <c r="N28" i="8" s="1"/>
  <c r="G28" i="8"/>
  <c r="I27" i="8"/>
  <c r="J27" i="8" s="1"/>
  <c r="G27" i="8"/>
  <c r="H27" i="8" s="1"/>
  <c r="H26" i="8"/>
  <c r="G26" i="8"/>
  <c r="F26" i="8"/>
  <c r="G25" i="8"/>
  <c r="H25" i="8" s="1"/>
  <c r="I25" i="8" s="1"/>
  <c r="J25" i="8" s="1"/>
  <c r="K25" i="8" s="1"/>
  <c r="L25" i="8" s="1"/>
  <c r="M25" i="8" s="1"/>
  <c r="N25" i="8" s="1"/>
  <c r="F25" i="8"/>
  <c r="J24" i="8"/>
  <c r="K24" i="8" s="1"/>
  <c r="L24" i="8" s="1"/>
  <c r="M24" i="8" s="1"/>
  <c r="N24" i="8" s="1"/>
  <c r="F24" i="8"/>
  <c r="G24" i="8" s="1"/>
  <c r="H24" i="8" s="1"/>
  <c r="I24" i="8" s="1"/>
  <c r="N21" i="8"/>
  <c r="M21" i="8"/>
  <c r="L21" i="8"/>
  <c r="K21" i="8"/>
  <c r="J21" i="8"/>
  <c r="I21" i="8"/>
  <c r="H21" i="8"/>
  <c r="G21" i="8"/>
  <c r="F21" i="8"/>
  <c r="E27" i="7"/>
  <c r="D27" i="7"/>
  <c r="F21" i="7"/>
  <c r="F22" i="7" s="1"/>
  <c r="F17" i="7" s="1"/>
  <c r="D21" i="7"/>
  <c r="D22" i="7" s="1"/>
  <c r="D17" i="7" s="1"/>
  <c r="F19" i="7"/>
  <c r="E19" i="7"/>
  <c r="E21" i="7" s="1"/>
  <c r="E22" i="7" s="1"/>
  <c r="E17" i="7" s="1"/>
  <c r="D19" i="7"/>
  <c r="F18" i="7"/>
  <c r="E15" i="7"/>
  <c r="E14" i="7"/>
  <c r="E12" i="7"/>
  <c r="F11" i="7"/>
  <c r="F12" i="7" s="1"/>
  <c r="F27" i="7" s="1"/>
  <c r="E10" i="7"/>
  <c r="N41" i="2" s="1"/>
  <c r="D11" i="5" s="1"/>
  <c r="D10" i="7"/>
  <c r="F5" i="7"/>
  <c r="E5" i="7"/>
  <c r="D5" i="7"/>
  <c r="H55" i="6"/>
  <c r="G55" i="6"/>
  <c r="F55" i="6"/>
  <c r="D46" i="6"/>
  <c r="D45" i="6"/>
  <c r="D44" i="6"/>
  <c r="D42" i="6"/>
  <c r="D41" i="6"/>
  <c r="D40" i="6"/>
  <c r="H27" i="6"/>
  <c r="G27" i="6"/>
  <c r="F27" i="6"/>
  <c r="H22" i="6"/>
  <c r="G22" i="6"/>
  <c r="F22" i="6"/>
  <c r="H21" i="6"/>
  <c r="G21" i="6"/>
  <c r="F21" i="6"/>
  <c r="H14" i="6"/>
  <c r="G14" i="6"/>
  <c r="F14" i="6"/>
  <c r="C19" i="5"/>
  <c r="E18" i="5"/>
  <c r="D18" i="5"/>
  <c r="C18" i="5"/>
  <c r="C16" i="5" s="1"/>
  <c r="E17" i="5"/>
  <c r="D17" i="5"/>
  <c r="D16" i="5" s="1"/>
  <c r="C17" i="5"/>
  <c r="C12" i="5"/>
  <c r="C11" i="5"/>
  <c r="J102" i="3"/>
  <c r="I100" i="3"/>
  <c r="L94" i="3"/>
  <c r="M94" i="3" s="1"/>
  <c r="N94" i="3" s="1"/>
  <c r="K94" i="3"/>
  <c r="J94" i="3"/>
  <c r="J74" i="3"/>
  <c r="K74" i="3" s="1"/>
  <c r="I74" i="3"/>
  <c r="H74" i="3"/>
  <c r="G74" i="3"/>
  <c r="J70" i="3"/>
  <c r="F13" i="6" s="1"/>
  <c r="I70" i="3"/>
  <c r="H70" i="3"/>
  <c r="G70" i="3"/>
  <c r="P67" i="3"/>
  <c r="Q67" i="3" s="1"/>
  <c r="R67" i="3" s="1"/>
  <c r="R66" i="3" s="1"/>
  <c r="M67" i="3"/>
  <c r="K67" i="3"/>
  <c r="Q66" i="3"/>
  <c r="P66" i="3"/>
  <c r="O66" i="3"/>
  <c r="L66" i="3"/>
  <c r="K66" i="3"/>
  <c r="J66" i="3"/>
  <c r="I66" i="3"/>
  <c r="F12" i="6" s="1"/>
  <c r="H66" i="3"/>
  <c r="G66" i="3"/>
  <c r="R64" i="3"/>
  <c r="Q64" i="3"/>
  <c r="P64" i="3"/>
  <c r="O64" i="3"/>
  <c r="N64" i="3"/>
  <c r="M64" i="3"/>
  <c r="L64" i="3"/>
  <c r="K64" i="3"/>
  <c r="J64" i="3"/>
  <c r="I64" i="3"/>
  <c r="K63" i="3"/>
  <c r="J63" i="3"/>
  <c r="I63" i="3"/>
  <c r="K62" i="3"/>
  <c r="J62" i="3"/>
  <c r="I62" i="3"/>
  <c r="K60" i="3"/>
  <c r="K58" i="3" s="1"/>
  <c r="J60" i="3"/>
  <c r="J58" i="3" s="1"/>
  <c r="F11" i="6" s="1"/>
  <c r="I60" i="3"/>
  <c r="L59" i="3"/>
  <c r="L60" i="3" s="1"/>
  <c r="L58" i="3" s="1"/>
  <c r="J37" i="3"/>
  <c r="K37" i="3" s="1"/>
  <c r="L37" i="3" s="1"/>
  <c r="M37" i="3" s="1"/>
  <c r="N37" i="3" s="1"/>
  <c r="O37" i="3" s="1"/>
  <c r="P37" i="3" s="1"/>
  <c r="Q37" i="3" s="1"/>
  <c r="R37" i="3" s="1"/>
  <c r="I32" i="3"/>
  <c r="H32" i="3"/>
  <c r="G32" i="3"/>
  <c r="I26" i="3"/>
  <c r="H26" i="3"/>
  <c r="H25" i="3" s="1"/>
  <c r="G25" i="3"/>
  <c r="H24" i="3"/>
  <c r="G23" i="3"/>
  <c r="R21" i="3"/>
  <c r="Q21" i="3"/>
  <c r="P21" i="3"/>
  <c r="O21" i="3"/>
  <c r="N21" i="3"/>
  <c r="M21" i="3"/>
  <c r="L21" i="3"/>
  <c r="K21" i="3"/>
  <c r="J21" i="3"/>
  <c r="I21" i="3"/>
  <c r="G21" i="3"/>
  <c r="G29" i="3" s="1"/>
  <c r="G30" i="3" s="1"/>
  <c r="H20" i="3"/>
  <c r="H21" i="3" s="1"/>
  <c r="I18" i="3" a="1"/>
  <c r="I18" i="3" s="1"/>
  <c r="H18" i="3" a="1"/>
  <c r="H18" i="3" s="1"/>
  <c r="G18" i="3" a="1"/>
  <c r="G18" i="3" s="1"/>
  <c r="G17" i="3" s="1"/>
  <c r="H17" i="3"/>
  <c r="H11" i="3"/>
  <c r="G11" i="3"/>
  <c r="G108" i="3" s="1"/>
  <c r="G109" i="3" s="1"/>
  <c r="F7" i="3"/>
  <c r="P74" i="2"/>
  <c r="O74" i="2"/>
  <c r="N74" i="2"/>
  <c r="M74" i="2"/>
  <c r="P68" i="2"/>
  <c r="N68" i="2"/>
  <c r="O68" i="2" s="1"/>
  <c r="P64" i="2"/>
  <c r="O64" i="2"/>
  <c r="O62" i="2" s="1"/>
  <c r="M64" i="2"/>
  <c r="N64" i="2" s="1"/>
  <c r="N62" i="2" s="1"/>
  <c r="P62" i="2"/>
  <c r="M62" i="2"/>
  <c r="O60" i="2"/>
  <c r="N60" i="2"/>
  <c r="D19" i="5" s="1"/>
  <c r="O57" i="2"/>
  <c r="N57" i="2"/>
  <c r="M57" i="2"/>
  <c r="N54" i="2"/>
  <c r="O54" i="2" s="1"/>
  <c r="P54" i="2" s="1"/>
  <c r="P53" i="2" s="1"/>
  <c r="O53" i="2"/>
  <c r="E15" i="5" s="1"/>
  <c r="M53" i="2"/>
  <c r="C15" i="5" s="1"/>
  <c r="P51" i="2"/>
  <c r="P49" i="2" s="1"/>
  <c r="O51" i="2"/>
  <c r="O49" i="2" s="1"/>
  <c r="E14" i="5" s="1"/>
  <c r="N51" i="2"/>
  <c r="M51" i="2"/>
  <c r="M49" i="2" s="1"/>
  <c r="C14" i="5" s="1"/>
  <c r="N49" i="2"/>
  <c r="D14" i="5" s="1"/>
  <c r="P42" i="2"/>
  <c r="O42" i="2"/>
  <c r="E12" i="5" s="1"/>
  <c r="N42" i="2"/>
  <c r="D12" i="5" s="1"/>
  <c r="P41" i="2"/>
  <c r="P40" i="2"/>
  <c r="Y39" i="2"/>
  <c r="P39" i="2"/>
  <c r="P35" i="2" a="1"/>
  <c r="P35" i="2" s="1"/>
  <c r="O35" i="2" a="1"/>
  <c r="O35" i="2"/>
  <c r="N35" i="2" a="1"/>
  <c r="N35" i="2" s="1"/>
  <c r="M35" i="2" a="1"/>
  <c r="M35" i="2" s="1"/>
  <c r="P34" i="2" a="1"/>
  <c r="P34" i="2" s="1"/>
  <c r="N34" i="2" a="1"/>
  <c r="N34" i="2"/>
  <c r="P33" i="2" a="1"/>
  <c r="P33" i="2" s="1"/>
  <c r="N33" i="2" a="1"/>
  <c r="N33" i="2" s="1"/>
  <c r="M33" i="2" a="1"/>
  <c r="M33" i="2" s="1"/>
  <c r="P32" i="2" a="1"/>
  <c r="P32" i="2" s="1"/>
  <c r="O32" i="2" a="1"/>
  <c r="O32" i="2"/>
  <c r="N32" i="2" a="1"/>
  <c r="N32" i="2"/>
  <c r="D5" i="5" s="1"/>
  <c r="P31" i="2"/>
  <c r="M21" i="2"/>
  <c r="M20" i="2"/>
  <c r="M19" i="2"/>
  <c r="N18" i="2"/>
  <c r="P17" i="2"/>
  <c r="O17" i="2"/>
  <c r="N17" i="2"/>
  <c r="M17" i="2"/>
  <c r="M25" i="2" s="1"/>
  <c r="P16" i="2"/>
  <c r="O16" i="2"/>
  <c r="N16" i="2"/>
  <c r="N24" i="2" s="1"/>
  <c r="P14" i="2"/>
  <c r="O14" i="2"/>
  <c r="O34" i="2" s="1" a="1"/>
  <c r="O34" i="2" s="1"/>
  <c r="N14" i="2"/>
  <c r="M14" i="2"/>
  <c r="N9" i="2"/>
  <c r="O9" i="2" s="1"/>
  <c r="E28" i="1"/>
  <c r="F28" i="1" s="1"/>
  <c r="G28" i="1" s="1"/>
  <c r="H22" i="1"/>
  <c r="L21" i="1"/>
  <c r="H21" i="1"/>
  <c r="H20" i="1"/>
  <c r="H19" i="1"/>
  <c r="G19" i="1"/>
  <c r="F18" i="1"/>
  <c r="G18" i="1" s="1"/>
  <c r="H18" i="1" s="1"/>
  <c r="G17" i="1"/>
  <c r="H17" i="1" s="1"/>
  <c r="F17" i="1"/>
  <c r="J15" i="1"/>
  <c r="F15" i="1"/>
  <c r="K14" i="1"/>
  <c r="K15" i="1" s="1"/>
  <c r="J14" i="1"/>
  <c r="I14" i="1"/>
  <c r="I15" i="1" s="1"/>
  <c r="H14" i="1"/>
  <c r="H15" i="1" s="1"/>
  <c r="G14" i="1"/>
  <c r="G15" i="1" s="1"/>
  <c r="F14" i="1"/>
  <c r="E14" i="1"/>
  <c r="D14" i="1"/>
  <c r="D15" i="1" s="1"/>
  <c r="G9" i="1"/>
  <c r="E9" i="1"/>
  <c r="D9" i="1"/>
  <c r="K8" i="1"/>
  <c r="J8" i="1"/>
  <c r="I8" i="1"/>
  <c r="H8" i="1"/>
  <c r="G8" i="1"/>
  <c r="F8" i="1"/>
  <c r="F10" i="1" s="1"/>
  <c r="F11" i="1" s="1"/>
  <c r="E8" i="1"/>
  <c r="E10" i="1" s="1"/>
  <c r="E11" i="1" s="1"/>
  <c r="D8" i="1"/>
  <c r="G3" i="1"/>
  <c r="D3" i="1"/>
  <c r="R52" i="4"/>
  <c r="R22" i="4" s="1"/>
  <c r="Q52" i="4"/>
  <c r="P52" i="4"/>
  <c r="P22" i="4" s="1"/>
  <c r="O52" i="4"/>
  <c r="N52" i="4"/>
  <c r="N22" i="4" s="1"/>
  <c r="M52" i="4"/>
  <c r="L52" i="4"/>
  <c r="K52" i="4"/>
  <c r="J52" i="4"/>
  <c r="J22" i="4" s="1"/>
  <c r="J36" i="4" s="1"/>
  <c r="I52" i="4"/>
  <c r="H52" i="4"/>
  <c r="H22" i="4" s="1"/>
  <c r="G52" i="4"/>
  <c r="R36" i="4"/>
  <c r="P36" i="4"/>
  <c r="N36" i="4"/>
  <c r="H36" i="4"/>
  <c r="G36" i="4"/>
  <c r="R30" i="4"/>
  <c r="Q30" i="4"/>
  <c r="P30" i="4"/>
  <c r="O30" i="4"/>
  <c r="N30" i="4"/>
  <c r="M30" i="4"/>
  <c r="L30" i="4"/>
  <c r="K30" i="4"/>
  <c r="J30" i="4"/>
  <c r="I30" i="4"/>
  <c r="H30" i="4"/>
  <c r="G30" i="4"/>
  <c r="I26" i="4"/>
  <c r="J26" i="4" s="1"/>
  <c r="K26" i="4" s="1"/>
  <c r="L26" i="4" s="1"/>
  <c r="M26" i="4" s="1"/>
  <c r="N26" i="4" s="1"/>
  <c r="O26" i="4" s="1"/>
  <c r="P26" i="4" s="1"/>
  <c r="Q26" i="4" s="1"/>
  <c r="R26" i="4" s="1"/>
  <c r="H26" i="4"/>
  <c r="Q22" i="4"/>
  <c r="Q36" i="4" s="1"/>
  <c r="O22" i="4"/>
  <c r="O36" i="4" s="1"/>
  <c r="M22" i="4"/>
  <c r="M36" i="4" s="1"/>
  <c r="L22" i="4"/>
  <c r="L36" i="4" s="1"/>
  <c r="K22" i="4"/>
  <c r="K36" i="4" s="1"/>
  <c r="I22" i="4"/>
  <c r="I36" i="4" s="1"/>
  <c r="G22" i="4"/>
  <c r="R17" i="4"/>
  <c r="O17" i="4"/>
  <c r="M17" i="4"/>
  <c r="L17" i="4"/>
  <c r="K17" i="4"/>
  <c r="K18" i="4" s="1"/>
  <c r="K29" i="4" s="1"/>
  <c r="K31" i="4" s="1"/>
  <c r="R16" i="4"/>
  <c r="Q16" i="4"/>
  <c r="Q17" i="4" s="1"/>
  <c r="P16" i="4"/>
  <c r="P17" i="4" s="1"/>
  <c r="O16" i="4"/>
  <c r="N16" i="4"/>
  <c r="N17" i="4" s="1"/>
  <c r="M16" i="4"/>
  <c r="L16" i="4"/>
  <c r="K16" i="4"/>
  <c r="J16" i="4"/>
  <c r="J17" i="4" s="1"/>
  <c r="J18" i="4" s="1"/>
  <c r="J29" i="4" s="1"/>
  <c r="J31" i="4" s="1"/>
  <c r="I16" i="4"/>
  <c r="I17" i="4" s="1"/>
  <c r="I18" i="4" s="1"/>
  <c r="I29" i="4" s="1"/>
  <c r="I31" i="4" s="1"/>
  <c r="H16" i="4"/>
  <c r="H17" i="4" s="1"/>
  <c r="H18" i="4" s="1"/>
  <c r="H29" i="4" s="1"/>
  <c r="H31" i="4" s="1"/>
  <c r="G16" i="4"/>
  <c r="G17" i="4" s="1"/>
  <c r="G18" i="4" s="1"/>
  <c r="G29" i="4" s="1"/>
  <c r="G31" i="4" s="1"/>
  <c r="L18" i="4" l="1"/>
  <c r="L29" i="4" s="1"/>
  <c r="L31" i="4" s="1"/>
  <c r="M18" i="4"/>
  <c r="M29" i="4" s="1"/>
  <c r="M31" i="4" s="1"/>
  <c r="Q34" i="4" s="1"/>
  <c r="R18" i="4"/>
  <c r="R29" i="4" s="1"/>
  <c r="R31" i="4" s="1"/>
  <c r="O18" i="4"/>
  <c r="O29" i="4" s="1"/>
  <c r="O31" i="4" s="1"/>
  <c r="N18" i="4"/>
  <c r="N29" i="4" s="1"/>
  <c r="N31" i="4" s="1"/>
  <c r="N32" i="4" s="1"/>
  <c r="N35" i="4" s="1"/>
  <c r="N37" i="4" s="1"/>
  <c r="N84" i="3" s="1"/>
  <c r="P18" i="4"/>
  <c r="P29" i="4" s="1"/>
  <c r="P31" i="4" s="1"/>
  <c r="P32" i="4" s="1"/>
  <c r="P35" i="4" s="1"/>
  <c r="P37" i="4" s="1"/>
  <c r="P84" i="3" s="1"/>
  <c r="Q18" i="4"/>
  <c r="Q29" i="4" s="1"/>
  <c r="Q31" i="4" s="1"/>
  <c r="R34" i="4"/>
  <c r="R33" i="4" s="1"/>
  <c r="R13" i="3" s="1"/>
  <c r="K32" i="4"/>
  <c r="K35" i="4" s="1"/>
  <c r="K37" i="4" s="1"/>
  <c r="K84" i="3" s="1"/>
  <c r="K33" i="4"/>
  <c r="K13" i="3" s="1"/>
  <c r="O34" i="4"/>
  <c r="O33" i="4" s="1"/>
  <c r="O13" i="3" s="1"/>
  <c r="K40" i="4"/>
  <c r="O94" i="3"/>
  <c r="G32" i="4"/>
  <c r="G35" i="4" s="1"/>
  <c r="G37" i="4" s="1"/>
  <c r="G84" i="3" s="1"/>
  <c r="G40" i="4"/>
  <c r="G33" i="4"/>
  <c r="G13" i="3" s="1"/>
  <c r="G39" i="4"/>
  <c r="K70" i="3"/>
  <c r="L74" i="3"/>
  <c r="O32" i="4"/>
  <c r="O35" i="4" s="1"/>
  <c r="O37" i="4" s="1"/>
  <c r="O84" i="3" s="1"/>
  <c r="O39" i="4"/>
  <c r="J33" i="4"/>
  <c r="J13" i="3" s="1"/>
  <c r="J32" i="4"/>
  <c r="J35" i="4" s="1"/>
  <c r="J37" i="4" s="1"/>
  <c r="J84" i="3" s="1"/>
  <c r="N34" i="4"/>
  <c r="N33" i="4" s="1"/>
  <c r="N13" i="3" s="1"/>
  <c r="G92" i="3"/>
  <c r="L33" i="4"/>
  <c r="L13" i="3" s="1"/>
  <c r="L32" i="4"/>
  <c r="L35" i="4" s="1"/>
  <c r="L37" i="4" s="1"/>
  <c r="L84" i="3" s="1"/>
  <c r="P34" i="4"/>
  <c r="R32" i="4"/>
  <c r="R35" i="4" s="1"/>
  <c r="R37" i="4" s="1"/>
  <c r="R84" i="3" s="1"/>
  <c r="H39" i="4"/>
  <c r="H33" i="4"/>
  <c r="H13" i="3" s="1"/>
  <c r="H32" i="4"/>
  <c r="H35" i="4" s="1"/>
  <c r="H37" i="4" s="1"/>
  <c r="H84" i="3" s="1"/>
  <c r="H92" i="3" s="1"/>
  <c r="H40" i="4"/>
  <c r="I39" i="4"/>
  <c r="I40" i="4"/>
  <c r="I33" i="4"/>
  <c r="I13" i="3" s="1"/>
  <c r="I47" i="3" s="1"/>
  <c r="I52" i="3" s="1" a="1"/>
  <c r="I52" i="3" s="1"/>
  <c r="M34" i="4"/>
  <c r="I32" i="4"/>
  <c r="I35" i="4" s="1"/>
  <c r="I37" i="4" s="1"/>
  <c r="I84" i="3" s="1"/>
  <c r="L61" i="3"/>
  <c r="H12" i="6"/>
  <c r="J100" i="3"/>
  <c r="K102" i="3"/>
  <c r="O18" i="2"/>
  <c r="N36" i="2"/>
  <c r="D7" i="5" s="1"/>
  <c r="N20" i="2"/>
  <c r="P60" i="2"/>
  <c r="P57" i="2" s="1"/>
  <c r="E19" i="5"/>
  <c r="E16" i="5" s="1"/>
  <c r="I26" i="8"/>
  <c r="O33" i="2" a="1"/>
  <c r="O33" i="2" s="1"/>
  <c r="E6" i="5" s="1"/>
  <c r="F14" i="7"/>
  <c r="F15" i="7" s="1"/>
  <c r="F10" i="7" s="1"/>
  <c r="O41" i="2" s="1"/>
  <c r="E11" i="5" s="1"/>
  <c r="J26" i="3"/>
  <c r="I25" i="3"/>
  <c r="D6" i="5"/>
  <c r="N19" i="2"/>
  <c r="H23" i="3"/>
  <c r="H29" i="3" s="1"/>
  <c r="H30" i="3" s="1"/>
  <c r="I24" i="3"/>
  <c r="N67" i="3"/>
  <c r="N66" i="3" s="1"/>
  <c r="M66" i="3"/>
  <c r="H108" i="3"/>
  <c r="H109" i="3" s="1"/>
  <c r="H106" i="3"/>
  <c r="H107" i="3" s="1"/>
  <c r="C6" i="5"/>
  <c r="K27" i="8"/>
  <c r="J26" i="8"/>
  <c r="F12" i="11"/>
  <c r="F26" i="7"/>
  <c r="F7" i="7"/>
  <c r="F8" i="7" s="1"/>
  <c r="D10" i="1"/>
  <c r="L8" i="1"/>
  <c r="M34" i="2" a="1"/>
  <c r="M34" i="2" s="1"/>
  <c r="M32" i="2" a="1"/>
  <c r="M32" i="2" s="1"/>
  <c r="M16" i="2"/>
  <c r="M36" i="2"/>
  <c r="C7" i="5" s="1"/>
  <c r="D43" i="6"/>
  <c r="J40" i="8"/>
  <c r="I39" i="8"/>
  <c r="D7" i="7"/>
  <c r="D8" i="7" s="1"/>
  <c r="D26" i="7"/>
  <c r="O31" i="2"/>
  <c r="E4" i="5" s="1"/>
  <c r="E3" i="5" s="1"/>
  <c r="E5" i="5"/>
  <c r="G12" i="6"/>
  <c r="E15" i="1"/>
  <c r="M59" i="3"/>
  <c r="E7" i="7"/>
  <c r="E8" i="7" s="1"/>
  <c r="E26" i="7"/>
  <c r="G10" i="1"/>
  <c r="G11" i="1" s="1"/>
  <c r="N31" i="2"/>
  <c r="D4" i="5" s="1"/>
  <c r="D3" i="5" s="1"/>
  <c r="I17" i="3"/>
  <c r="N53" i="2"/>
  <c r="D15" i="5" s="1"/>
  <c r="I37" i="8"/>
  <c r="G106" i="3"/>
  <c r="G107" i="3" s="1"/>
  <c r="D11" i="11"/>
  <c r="E11" i="11" s="1"/>
  <c r="F11" i="11" s="1"/>
  <c r="D10" i="10"/>
  <c r="E10" i="10" s="1"/>
  <c r="F10" i="10" s="1"/>
  <c r="D11" i="10"/>
  <c r="E11" i="10" s="1"/>
  <c r="F11" i="10" s="1"/>
  <c r="D24" i="11"/>
  <c r="D32" i="11" s="1"/>
  <c r="D12" i="10"/>
  <c r="E12" i="10" s="1"/>
  <c r="F12" i="10" s="1"/>
  <c r="D13" i="10"/>
  <c r="E13" i="10" s="1"/>
  <c r="F13" i="10" s="1"/>
  <c r="N40" i="4" l="1"/>
  <c r="K39" i="4"/>
  <c r="R39" i="4"/>
  <c r="Q33" i="4"/>
  <c r="Q13" i="3" s="1"/>
  <c r="R40" i="4"/>
  <c r="Q32" i="4"/>
  <c r="Q35" i="4" s="1"/>
  <c r="Q37" i="4" s="1"/>
  <c r="Q84" i="3" s="1"/>
  <c r="O40" i="4"/>
  <c r="M32" i="4"/>
  <c r="M35" i="4" s="1"/>
  <c r="M37" i="4" s="1"/>
  <c r="M84" i="3" s="1"/>
  <c r="P33" i="4"/>
  <c r="P13" i="3" s="1"/>
  <c r="P14" i="3" s="1"/>
  <c r="P15" i="3" s="1"/>
  <c r="P39" i="4"/>
  <c r="M33" i="4"/>
  <c r="M13" i="3" s="1"/>
  <c r="M47" i="3"/>
  <c r="M14" i="3"/>
  <c r="M15" i="3" s="1"/>
  <c r="O14" i="3"/>
  <c r="O15" i="3" s="1"/>
  <c r="O47" i="3"/>
  <c r="P47" i="3"/>
  <c r="N14" i="3"/>
  <c r="N15" i="3" s="1"/>
  <c r="N47" i="3"/>
  <c r="R14" i="3"/>
  <c r="R15" i="3" s="1"/>
  <c r="R47" i="3"/>
  <c r="F3" i="7"/>
  <c r="O40" i="2" s="1"/>
  <c r="F25" i="7"/>
  <c r="F24" i="7" s="1"/>
  <c r="K47" i="3"/>
  <c r="K14" i="3"/>
  <c r="K15" i="3" s="1"/>
  <c r="L14" i="3"/>
  <c r="L15" i="3" s="1"/>
  <c r="L47" i="3"/>
  <c r="G15" i="6"/>
  <c r="O19" i="2"/>
  <c r="O20" i="2"/>
  <c r="P18" i="2"/>
  <c r="O36" i="2"/>
  <c r="E7" i="5" s="1"/>
  <c r="L39" i="4"/>
  <c r="L102" i="3"/>
  <c r="K100" i="3"/>
  <c r="F16" i="10"/>
  <c r="N25" i="2"/>
  <c r="N23" i="2" s="1"/>
  <c r="N27" i="2" s="1"/>
  <c r="N44" i="2" s="1"/>
  <c r="N21" i="2"/>
  <c r="L40" i="4"/>
  <c r="E25" i="7"/>
  <c r="E24" i="7" s="1"/>
  <c r="E3" i="7"/>
  <c r="N40" i="2" s="1"/>
  <c r="O24" i="2"/>
  <c r="J40" i="4"/>
  <c r="N39" i="4"/>
  <c r="I38" i="8"/>
  <c r="J37" i="8"/>
  <c r="J38" i="8" s="1"/>
  <c r="J25" i="3"/>
  <c r="K26" i="3"/>
  <c r="M24" i="2"/>
  <c r="M23" i="2" s="1"/>
  <c r="M27" i="2" s="1"/>
  <c r="M44" i="2" s="1"/>
  <c r="M11" i="2"/>
  <c r="J14" i="3"/>
  <c r="J15" i="3" s="1"/>
  <c r="J47" i="3"/>
  <c r="D25" i="7"/>
  <c r="D24" i="7" s="1"/>
  <c r="D3" i="7"/>
  <c r="M40" i="2" s="1"/>
  <c r="L27" i="8"/>
  <c r="K26" i="8"/>
  <c r="I53" i="3"/>
  <c r="I51" i="3" a="1"/>
  <c r="I51" i="3" s="1"/>
  <c r="N59" i="3"/>
  <c r="M60" i="3"/>
  <c r="M58" i="3" s="1"/>
  <c r="C5" i="5"/>
  <c r="M31" i="2"/>
  <c r="C4" i="5" s="1"/>
  <c r="C3" i="5" s="1"/>
  <c r="L63" i="3"/>
  <c r="M61" i="3"/>
  <c r="L62" i="3"/>
  <c r="J39" i="4"/>
  <c r="K40" i="8"/>
  <c r="J39" i="8"/>
  <c r="N11" i="2"/>
  <c r="H15" i="6"/>
  <c r="P40" i="4"/>
  <c r="Q40" i="4"/>
  <c r="I50" i="3" a="1"/>
  <c r="I50" i="3" s="1"/>
  <c r="D11" i="1"/>
  <c r="L10" i="1"/>
  <c r="O10" i="1" s="1"/>
  <c r="P94" i="3"/>
  <c r="Q47" i="3"/>
  <c r="Q14" i="3"/>
  <c r="Q15" i="3" s="1"/>
  <c r="M74" i="3"/>
  <c r="L70" i="3"/>
  <c r="J24" i="3"/>
  <c r="I23" i="3"/>
  <c r="I29" i="3" s="1"/>
  <c r="I30" i="3" s="1"/>
  <c r="I36" i="3" s="1"/>
  <c r="F15" i="6"/>
  <c r="Q39" i="4"/>
  <c r="M40" i="4" l="1"/>
  <c r="M39" i="4"/>
  <c r="K18" i="3" a="1"/>
  <c r="K18" i="3" s="1"/>
  <c r="K17" i="3" s="1"/>
  <c r="N83" i="2"/>
  <c r="N84" i="2" s="1"/>
  <c r="N37" i="2"/>
  <c r="D8" i="5" s="1"/>
  <c r="R52" i="3" a="1"/>
  <c r="R52" i="3" s="1"/>
  <c r="R50" i="3" a="1"/>
  <c r="R50" i="3" s="1"/>
  <c r="R51" i="3" a="1"/>
  <c r="R51" i="3" s="1"/>
  <c r="R53" i="3"/>
  <c r="M39" i="2"/>
  <c r="M66" i="2" s="1"/>
  <c r="C10" i="5"/>
  <c r="C9" i="5" s="1"/>
  <c r="L40" i="8"/>
  <c r="K39" i="8"/>
  <c r="N51" i="3" a="1"/>
  <c r="N51" i="3" s="1"/>
  <c r="N52" i="3" a="1"/>
  <c r="N52" i="3" s="1"/>
  <c r="N50" i="3" a="1"/>
  <c r="N50" i="3" s="1"/>
  <c r="N53" i="3"/>
  <c r="N18" i="3" a="1"/>
  <c r="N18" i="3" s="1"/>
  <c r="N17" i="3" s="1"/>
  <c r="N47" i="2"/>
  <c r="N46" i="2"/>
  <c r="D13" i="5"/>
  <c r="J18" i="3" a="1"/>
  <c r="J18" i="3" s="1"/>
  <c r="J17" i="3" s="1"/>
  <c r="P18" i="3" a="1"/>
  <c r="P18" i="3" s="1"/>
  <c r="L51" i="3" a="1"/>
  <c r="L51" i="3" s="1"/>
  <c r="L53" i="3"/>
  <c r="L52" i="3" a="1"/>
  <c r="L52" i="3" s="1"/>
  <c r="L50" i="3" a="1"/>
  <c r="L50" i="3" s="1"/>
  <c r="P50" i="3" a="1"/>
  <c r="P50" i="3" s="1"/>
  <c r="P53" i="3"/>
  <c r="P52" i="3" a="1"/>
  <c r="P52" i="3" s="1"/>
  <c r="P51" i="3" a="1"/>
  <c r="P51" i="3" s="1"/>
  <c r="D10" i="5"/>
  <c r="D9" i="5" s="1"/>
  <c r="N39" i="2"/>
  <c r="N66" i="2" s="1"/>
  <c r="J53" i="3"/>
  <c r="J50" i="3" a="1"/>
  <c r="J50" i="3" s="1"/>
  <c r="J52" i="3" a="1"/>
  <c r="J52" i="3" s="1"/>
  <c r="J51" i="3" a="1"/>
  <c r="J51" i="3" s="1"/>
  <c r="C13" i="5"/>
  <c r="M47" i="2"/>
  <c r="M46" i="2"/>
  <c r="Q94" i="3"/>
  <c r="P20" i="2"/>
  <c r="P19" i="2"/>
  <c r="P24" i="2"/>
  <c r="P36" i="2"/>
  <c r="O53" i="3"/>
  <c r="O52" i="3" a="1"/>
  <c r="O52" i="3" s="1"/>
  <c r="O50" i="3" a="1"/>
  <c r="O50" i="3" s="1"/>
  <c r="O51" i="3" a="1"/>
  <c r="O51" i="3" s="1"/>
  <c r="K52" i="3" a="1"/>
  <c r="K52" i="3" s="1"/>
  <c r="K50" i="3" a="1"/>
  <c r="K50" i="3" s="1"/>
  <c r="K53" i="3"/>
  <c r="K51" i="3" a="1"/>
  <c r="K51" i="3" s="1"/>
  <c r="I35" i="3"/>
  <c r="I34" i="3" s="1"/>
  <c r="Q18" i="3" a="1"/>
  <c r="Q18" i="3" s="1"/>
  <c r="Q17" i="3" s="1"/>
  <c r="M63" i="3"/>
  <c r="M62" i="3"/>
  <c r="N61" i="3"/>
  <c r="L26" i="3"/>
  <c r="K25" i="3"/>
  <c r="O21" i="2"/>
  <c r="O11" i="2"/>
  <c r="O25" i="2"/>
  <c r="O23" i="2" s="1"/>
  <c r="O27" i="2" s="1"/>
  <c r="O44" i="2" s="1"/>
  <c r="O18" i="3" a="1"/>
  <c r="O18" i="3" s="1"/>
  <c r="L18" i="3" a="1"/>
  <c r="L18" i="3" s="1"/>
  <c r="L17" i="3" s="1"/>
  <c r="L26" i="8"/>
  <c r="M27" i="8"/>
  <c r="O39" i="2"/>
  <c r="E10" i="5"/>
  <c r="E9" i="5" s="1"/>
  <c r="R18" i="3" a="1"/>
  <c r="R18" i="3" s="1"/>
  <c r="M70" i="3"/>
  <c r="N74" i="3"/>
  <c r="M102" i="3"/>
  <c r="L100" i="3"/>
  <c r="G11" i="6"/>
  <c r="M18" i="3" a="1"/>
  <c r="M18" i="3" s="1"/>
  <c r="M17" i="3" s="1"/>
  <c r="K24" i="3"/>
  <c r="J23" i="3"/>
  <c r="J29" i="3" s="1"/>
  <c r="M83" i="2"/>
  <c r="M84" i="2" s="1"/>
  <c r="M37" i="2"/>
  <c r="C8" i="5" s="1"/>
  <c r="Q50" i="3" a="1"/>
  <c r="Q50" i="3" s="1"/>
  <c r="Q51" i="3" a="1"/>
  <c r="Q51" i="3" s="1"/>
  <c r="Q52" i="3" a="1"/>
  <c r="Q52" i="3" s="1"/>
  <c r="Q53" i="3"/>
  <c r="N60" i="3"/>
  <c r="N58" i="3" s="1"/>
  <c r="O59" i="3"/>
  <c r="M53" i="3"/>
  <c r="M51" i="3" a="1"/>
  <c r="M51" i="3" s="1"/>
  <c r="M52" i="3" a="1"/>
  <c r="M52" i="3" s="1"/>
  <c r="M50" i="3" a="1"/>
  <c r="M50" i="3" s="1"/>
  <c r="O47" i="2" l="1"/>
  <c r="E13" i="5"/>
  <c r="O46" i="2"/>
  <c r="R94" i="3"/>
  <c r="P25" i="2"/>
  <c r="P23" i="2" s="1"/>
  <c r="P27" i="2" s="1"/>
  <c r="P44" i="2" s="1"/>
  <c r="P21" i="2"/>
  <c r="J36" i="3"/>
  <c r="I54" i="3"/>
  <c r="I49" i="3" s="1"/>
  <c r="I11" i="3"/>
  <c r="I106" i="3" s="1"/>
  <c r="I107" i="3" s="1"/>
  <c r="I38" i="3"/>
  <c r="R17" i="3"/>
  <c r="M40" i="8"/>
  <c r="L39" i="8"/>
  <c r="M69" i="2"/>
  <c r="C20" i="5" s="1"/>
  <c r="M78" i="2"/>
  <c r="M29" i="2" s="1"/>
  <c r="M71" i="2"/>
  <c r="M85" i="2" s="1"/>
  <c r="M26" i="8"/>
  <c r="N27" i="8"/>
  <c r="N26" i="8" s="1"/>
  <c r="P17" i="3"/>
  <c r="J30" i="3"/>
  <c r="J31" i="3" a="1"/>
  <c r="J31" i="3" s="1"/>
  <c r="J32" i="3" s="1"/>
  <c r="O83" i="2"/>
  <c r="O84" i="2" s="1"/>
  <c r="O37" i="2"/>
  <c r="E8" i="5" s="1"/>
  <c r="N69" i="2"/>
  <c r="D20" i="5" s="1"/>
  <c r="N71" i="2"/>
  <c r="N85" i="2" s="1"/>
  <c r="M100" i="3"/>
  <c r="N102" i="3"/>
  <c r="P11" i="2"/>
  <c r="P59" i="3"/>
  <c r="O60" i="3"/>
  <c r="O58" i="3" s="1"/>
  <c r="N70" i="3"/>
  <c r="O74" i="3"/>
  <c r="M26" i="3"/>
  <c r="L25" i="3"/>
  <c r="O66" i="2"/>
  <c r="J35" i="3"/>
  <c r="L24" i="3"/>
  <c r="K23" i="3"/>
  <c r="K29" i="3" s="1"/>
  <c r="O17" i="3"/>
  <c r="G13" i="6"/>
  <c r="O61" i="3"/>
  <c r="N62" i="3"/>
  <c r="N63" i="3"/>
  <c r="P46" i="2" l="1"/>
  <c r="P47" i="2"/>
  <c r="P66" i="2"/>
  <c r="P61" i="3"/>
  <c r="O62" i="3"/>
  <c r="O63" i="3"/>
  <c r="N78" i="2"/>
  <c r="N29" i="2" s="1"/>
  <c r="P83" i="2"/>
  <c r="P84" i="2" s="1"/>
  <c r="P37" i="2"/>
  <c r="N100" i="3"/>
  <c r="O102" i="3"/>
  <c r="N98" i="2"/>
  <c r="N90" i="2"/>
  <c r="N91" i="2" s="1"/>
  <c r="N86" i="2"/>
  <c r="K31" i="3" a="1"/>
  <c r="K31" i="3" s="1"/>
  <c r="K32" i="3" s="1"/>
  <c r="K30" i="3"/>
  <c r="K36" i="3" s="1"/>
  <c r="J34" i="3"/>
  <c r="M25" i="3"/>
  <c r="N26" i="3"/>
  <c r="K35" i="3"/>
  <c r="M98" i="2"/>
  <c r="M100" i="2" s="1"/>
  <c r="M90" i="2"/>
  <c r="M91" i="2"/>
  <c r="M86" i="2"/>
  <c r="P74" i="3"/>
  <c r="O70" i="3"/>
  <c r="N40" i="8"/>
  <c r="N39" i="8" s="1"/>
  <c r="M39" i="8"/>
  <c r="L23" i="3"/>
  <c r="L29" i="3" s="1"/>
  <c r="M24" i="3"/>
  <c r="O69" i="2"/>
  <c r="E20" i="5" s="1"/>
  <c r="O78" i="2"/>
  <c r="O29" i="2" s="1"/>
  <c r="Q59" i="3"/>
  <c r="P60" i="3"/>
  <c r="P58" i="3" s="1"/>
  <c r="K34" i="3" l="1"/>
  <c r="N92" i="2"/>
  <c r="N94" i="2"/>
  <c r="O100" i="3"/>
  <c r="P102" i="3"/>
  <c r="M92" i="2"/>
  <c r="M94" i="2" s="1"/>
  <c r="O71" i="2"/>
  <c r="O85" i="2" s="1"/>
  <c r="J54" i="3"/>
  <c r="J55" i="3"/>
  <c r="J11" i="3"/>
  <c r="J38" i="3"/>
  <c r="F9" i="6" s="1"/>
  <c r="R59" i="3"/>
  <c r="R60" i="3" s="1"/>
  <c r="R58" i="3" s="1"/>
  <c r="Q60" i="3"/>
  <c r="Q58" i="3" s="1"/>
  <c r="H11" i="6" s="1"/>
  <c r="K54" i="3"/>
  <c r="K38" i="3"/>
  <c r="K55" i="3"/>
  <c r="K11" i="3"/>
  <c r="Q61" i="3"/>
  <c r="P62" i="3"/>
  <c r="P63" i="3"/>
  <c r="Q74" i="3"/>
  <c r="P70" i="3"/>
  <c r="N24" i="3"/>
  <c r="M23" i="3"/>
  <c r="M29" i="3" s="1"/>
  <c r="O26" i="3"/>
  <c r="N25" i="3"/>
  <c r="L30" i="3"/>
  <c r="L36" i="3" s="1"/>
  <c r="L31" i="3" a="1"/>
  <c r="L31" i="3" s="1"/>
  <c r="L32" i="3" s="1"/>
  <c r="L35" i="3"/>
  <c r="P69" i="2"/>
  <c r="P78" i="2" s="1"/>
  <c r="P29" i="2" s="1"/>
  <c r="K49" i="3" l="1"/>
  <c r="K106" i="3" s="1"/>
  <c r="K107" i="3" s="1"/>
  <c r="M30" i="3"/>
  <c r="M36" i="3" s="1"/>
  <c r="M31" i="3" a="1"/>
  <c r="M31" i="3" s="1"/>
  <c r="M32" i="3" s="1"/>
  <c r="M35" i="3"/>
  <c r="M34" i="3" s="1"/>
  <c r="O25" i="3"/>
  <c r="P26" i="3"/>
  <c r="O98" i="2"/>
  <c r="O90" i="2"/>
  <c r="O91" i="2" s="1"/>
  <c r="O86" i="2"/>
  <c r="L34" i="3"/>
  <c r="J49" i="3"/>
  <c r="Q70" i="3"/>
  <c r="H13" i="6" s="1"/>
  <c r="R74" i="3"/>
  <c r="R70" i="3" s="1"/>
  <c r="Q102" i="3"/>
  <c r="P100" i="3"/>
  <c r="N23" i="3"/>
  <c r="N29" i="3" s="1"/>
  <c r="O24" i="3"/>
  <c r="Q63" i="3"/>
  <c r="Q62" i="3"/>
  <c r="R61" i="3"/>
  <c r="P71" i="2"/>
  <c r="P85" i="2" s="1"/>
  <c r="O92" i="2" l="1"/>
  <c r="O94" i="2" s="1"/>
  <c r="F10" i="6"/>
  <c r="F16" i="6" s="1"/>
  <c r="R62" i="3"/>
  <c r="R63" i="3"/>
  <c r="N30" i="3"/>
  <c r="N36" i="3" s="1"/>
  <c r="N31" i="3" a="1"/>
  <c r="N31" i="3" s="1"/>
  <c r="N32" i="3" s="1"/>
  <c r="N35" i="3"/>
  <c r="N34" i="3" s="1"/>
  <c r="L11" i="3"/>
  <c r="L54" i="3"/>
  <c r="L55" i="3"/>
  <c r="L38" i="3"/>
  <c r="P98" i="2"/>
  <c r="P90" i="2"/>
  <c r="P91" i="2" s="1"/>
  <c r="P86" i="2"/>
  <c r="P25" i="3"/>
  <c r="Q26" i="3"/>
  <c r="O23" i="3"/>
  <c r="O29" i="3" s="1"/>
  <c r="P24" i="3"/>
  <c r="M38" i="3"/>
  <c r="M54" i="3"/>
  <c r="M55" i="3"/>
  <c r="M11" i="3"/>
  <c r="Q100" i="3"/>
  <c r="R102" i="3"/>
  <c r="R100" i="3" s="1"/>
  <c r="J106" i="3"/>
  <c r="J107" i="3" s="1"/>
  <c r="P92" i="2" l="1"/>
  <c r="P94" i="2"/>
  <c r="N38" i="3"/>
  <c r="G9" i="6" s="1"/>
  <c r="N55" i="3"/>
  <c r="N54" i="3"/>
  <c r="N49" i="3" s="1"/>
  <c r="N11" i="3"/>
  <c r="F20" i="6"/>
  <c r="F23" i="6" s="1"/>
  <c r="L49" i="3"/>
  <c r="M49" i="3"/>
  <c r="M106" i="3" s="1"/>
  <c r="M107" i="3" s="1"/>
  <c r="Q24" i="3"/>
  <c r="P23" i="3"/>
  <c r="P29" i="3" s="1"/>
  <c r="O31" i="3" a="1"/>
  <c r="O31" i="3" s="1"/>
  <c r="O32" i="3" s="1"/>
  <c r="O30" i="3"/>
  <c r="O36" i="3" s="1"/>
  <c r="O35" i="3"/>
  <c r="Q25" i="3"/>
  <c r="R26" i="3"/>
  <c r="R25" i="3" s="1"/>
  <c r="O34" i="3" l="1"/>
  <c r="F24" i="6"/>
  <c r="F26" i="6"/>
  <c r="F25" i="6"/>
  <c r="Q23" i="3"/>
  <c r="Q29" i="3" s="1"/>
  <c r="R24" i="3"/>
  <c r="R23" i="3" s="1"/>
  <c r="R29" i="3" s="1"/>
  <c r="O54" i="3"/>
  <c r="O38" i="3"/>
  <c r="O11" i="3"/>
  <c r="O55" i="3"/>
  <c r="P30" i="3"/>
  <c r="P36" i="3" s="1"/>
  <c r="P31" i="3" a="1"/>
  <c r="P31" i="3" s="1"/>
  <c r="P32" i="3" s="1"/>
  <c r="P35" i="3"/>
  <c r="G10" i="6"/>
  <c r="G16" i="6" s="1"/>
  <c r="N106" i="3"/>
  <c r="N107" i="3" s="1"/>
  <c r="L106" i="3"/>
  <c r="L107" i="3" s="1"/>
  <c r="G20" i="6" l="1"/>
  <c r="G23" i="6" s="1"/>
  <c r="Q31" i="3" a="1"/>
  <c r="Q31" i="3" s="1"/>
  <c r="Q32" i="3" s="1"/>
  <c r="Q30" i="3"/>
  <c r="Q36" i="3" s="1"/>
  <c r="Q35" i="3"/>
  <c r="R30" i="3"/>
  <c r="R36" i="3" s="1"/>
  <c r="R31" i="3" a="1"/>
  <c r="R31" i="3" s="1"/>
  <c r="R32" i="3" s="1"/>
  <c r="R35" i="3"/>
  <c r="O49" i="3"/>
  <c r="O106" i="3" s="1"/>
  <c r="O107" i="3" s="1"/>
  <c r="F28" i="6"/>
  <c r="P34" i="3"/>
  <c r="R34" i="3" l="1"/>
  <c r="I81" i="3"/>
  <c r="I79" i="3" s="1"/>
  <c r="I92" i="3" s="1"/>
  <c r="J81" i="3"/>
  <c r="J79" i="3" s="1"/>
  <c r="J92" i="3" s="1"/>
  <c r="F31" i="6"/>
  <c r="R55" i="3"/>
  <c r="R54" i="3"/>
  <c r="R38" i="3"/>
  <c r="R11" i="3"/>
  <c r="Q34" i="3"/>
  <c r="P55" i="3"/>
  <c r="P38" i="3"/>
  <c r="P11" i="3"/>
  <c r="P54" i="3"/>
  <c r="G25" i="6"/>
  <c r="G26" i="6"/>
  <c r="G24" i="6"/>
  <c r="P49" i="3" l="1"/>
  <c r="G28" i="6"/>
  <c r="P106" i="3"/>
  <c r="P107" i="3" s="1"/>
  <c r="Q55" i="3"/>
  <c r="Q11" i="3"/>
  <c r="Q54" i="3"/>
  <c r="Q49" i="3" s="1"/>
  <c r="Q38" i="3"/>
  <c r="H9" i="6" s="1"/>
  <c r="R49" i="3"/>
  <c r="R106" i="3" s="1"/>
  <c r="R107" i="3" s="1"/>
  <c r="F32" i="6"/>
  <c r="F33" i="6" s="1"/>
  <c r="J95" i="3"/>
  <c r="J97" i="3" s="1"/>
  <c r="J108" i="3" s="1"/>
  <c r="J109" i="3" s="1"/>
  <c r="N81" i="3"/>
  <c r="N79" i="3" s="1"/>
  <c r="N92" i="3" s="1"/>
  <c r="M81" i="3"/>
  <c r="M79" i="3" s="1"/>
  <c r="M92" i="3" s="1"/>
  <c r="L81" i="3"/>
  <c r="L79" i="3" s="1"/>
  <c r="L92" i="3" s="1"/>
  <c r="K81" i="3"/>
  <c r="K79" i="3" s="1"/>
  <c r="K92" i="3" s="1"/>
  <c r="G31" i="6"/>
  <c r="I95" i="3"/>
  <c r="I97" i="3" s="1"/>
  <c r="I108" i="3" s="1"/>
  <c r="I109" i="3" s="1"/>
  <c r="F35" i="6" l="1"/>
  <c r="F36" i="6" s="1"/>
  <c r="G34" i="6" s="1"/>
  <c r="N95" i="3"/>
  <c r="N97" i="3" s="1"/>
  <c r="N108" i="3" s="1"/>
  <c r="N109" i="3" s="1"/>
  <c r="Q106" i="3"/>
  <c r="Q107" i="3" s="1"/>
  <c r="K95" i="3"/>
  <c r="K97" i="3" s="1"/>
  <c r="K108" i="3" s="1"/>
  <c r="K109" i="3" s="1"/>
  <c r="H10" i="6"/>
  <c r="H16" i="6" s="1"/>
  <c r="L95" i="3"/>
  <c r="L97" i="3" s="1"/>
  <c r="L108" i="3" s="1"/>
  <c r="L109" i="3" s="1"/>
  <c r="G32" i="6"/>
  <c r="G33" i="6" s="1"/>
  <c r="M95" i="3"/>
  <c r="M97" i="3" s="1"/>
  <c r="M108" i="3" s="1"/>
  <c r="M109" i="3" s="1"/>
  <c r="H20" i="6" l="1"/>
  <c r="H23" i="6" s="1"/>
  <c r="G35" i="6"/>
  <c r="G37" i="6" s="1"/>
  <c r="F37" i="6"/>
  <c r="G40" i="6" l="1"/>
  <c r="G45" i="6"/>
  <c r="G41" i="6"/>
  <c r="G42" i="6"/>
  <c r="G46" i="6"/>
  <c r="G43" i="6"/>
  <c r="G44" i="6"/>
  <c r="F44" i="6"/>
  <c r="F40" i="6"/>
  <c r="F46" i="6"/>
  <c r="F42" i="6"/>
  <c r="F45" i="6"/>
  <c r="F41" i="6"/>
  <c r="F43" i="6"/>
  <c r="G36" i="6"/>
  <c r="H34" i="6" s="1"/>
  <c r="H26" i="6"/>
  <c r="H25" i="6"/>
  <c r="H24" i="6"/>
  <c r="F47" i="6" l="1"/>
  <c r="F50" i="6" s="1"/>
  <c r="H28" i="6"/>
  <c r="G47" i="6"/>
  <c r="G50" i="6" s="1"/>
  <c r="Q81" i="3" l="1"/>
  <c r="Q79" i="3" s="1"/>
  <c r="Q92" i="3" s="1"/>
  <c r="P81" i="3"/>
  <c r="P79" i="3" s="1"/>
  <c r="P92" i="3" s="1"/>
  <c r="R81" i="3"/>
  <c r="R79" i="3" s="1"/>
  <c r="R92" i="3" s="1"/>
  <c r="O81" i="3"/>
  <c r="O79" i="3" s="1"/>
  <c r="O92" i="3" s="1"/>
  <c r="H31" i="6"/>
  <c r="G56" i="6"/>
  <c r="G52" i="6"/>
  <c r="F52" i="6"/>
  <c r="F56" i="6"/>
  <c r="R95" i="3" l="1"/>
  <c r="R97" i="3" s="1"/>
  <c r="R108" i="3" s="1"/>
  <c r="R109" i="3" s="1"/>
  <c r="P95" i="3"/>
  <c r="P97" i="3" s="1"/>
  <c r="P108" i="3" s="1"/>
  <c r="P109" i="3" s="1"/>
  <c r="H32" i="6"/>
  <c r="H33" i="6" s="1"/>
  <c r="O95" i="3"/>
  <c r="O97" i="3" s="1"/>
  <c r="O108" i="3" s="1"/>
  <c r="O109" i="3" s="1"/>
  <c r="Q95" i="3"/>
  <c r="Q97" i="3" s="1"/>
  <c r="Q108" i="3" s="1"/>
  <c r="Q109" i="3" s="1"/>
  <c r="H35" i="6" l="1"/>
  <c r="H36" i="6" s="1"/>
  <c r="H37" i="6" l="1"/>
  <c r="H42" i="6" l="1"/>
  <c r="H40" i="6"/>
  <c r="H41" i="6"/>
  <c r="H43" i="6"/>
  <c r="H45" i="6"/>
  <c r="H46" i="6"/>
  <c r="H44" i="6"/>
  <c r="H47" i="6" l="1"/>
  <c r="H50" i="6" s="1"/>
  <c r="H52" i="6" l="1"/>
  <c r="H5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Evgeniy Myasin</author>
  </authors>
  <commentList>
    <comment ref="F6" authorId="0" shapeId="0" xr:uid="{00000000-0006-0000-0200-000001000000}">
      <text>
        <r>
          <rPr>
            <sz val="11"/>
            <color theme="1"/>
            <rFont val="Aptos Narrow"/>
            <family val="2"/>
            <scheme val="minor"/>
          </rPr>
          <t>Evgeniy Myasin:
Toggle: choose Printsmarter or Elanders. Drives COGS rows 33-36.</t>
        </r>
      </text>
    </comment>
    <comment ref="F7" authorId="0" shapeId="0" xr:uid="{00000000-0006-0000-0200-000002000000}">
      <text>
        <r>
          <rPr>
            <sz val="11"/>
            <color theme="1"/>
            <rFont val="Aptos Narrow"/>
            <family val="2"/>
            <scheme val="minor"/>
          </rPr>
          <t>Feeds CHOOSE() in the COGS formulas: 1 = Printsmarter block, 2 = Elanders block.</t>
        </r>
      </text>
    </comment>
    <comment ref="I47" authorId="0" shapeId="0" xr:uid="{00000000-0006-0000-0200-000003000000}">
      <text>
        <r>
          <rPr>
            <sz val="11"/>
            <color theme="1"/>
            <rFont val="Aptos Narrow"/>
            <family val="2"/>
            <scheme val="minor"/>
          </rPr>
          <t>Evgeniy Myasin:
Step-down match on Assumptions row 20 (books/day breakpoints).</t>
        </r>
      </text>
    </comment>
    <comment ref="J47" authorId="0" shapeId="0" xr:uid="{00000000-0006-0000-0200-000004000000}">
      <text>
        <r>
          <rPr>
            <sz val="11"/>
            <color theme="1"/>
            <rFont val="Aptos Narrow"/>
            <family val="2"/>
            <scheme val="minor"/>
          </rPr>
          <t>Evgeniy Myasin:
Step-down match on Assumptions row 20 (books/day breakpoints).</t>
        </r>
      </text>
    </comment>
    <comment ref="K47" authorId="0" shapeId="0" xr:uid="{00000000-0006-0000-0200-000005000000}">
      <text>
        <r>
          <rPr>
            <sz val="11"/>
            <color theme="1"/>
            <rFont val="Aptos Narrow"/>
            <family val="2"/>
            <scheme val="minor"/>
          </rPr>
          <t>Evgeniy Myasin:
Step-down match on Assumptions row 20 (books/day breakpoints).</t>
        </r>
      </text>
    </comment>
    <comment ref="L47" authorId="0" shapeId="0" xr:uid="{00000000-0006-0000-0200-000006000000}">
      <text>
        <r>
          <rPr>
            <sz val="11"/>
            <color theme="1"/>
            <rFont val="Aptos Narrow"/>
            <family val="2"/>
            <scheme val="minor"/>
          </rPr>
          <t>Evgeniy Myasin:
Step-down match on Assumptions row 20 (books/day breakpoints).</t>
        </r>
      </text>
    </comment>
    <comment ref="M47" authorId="0" shapeId="0" xr:uid="{00000000-0006-0000-0200-000007000000}">
      <text>
        <r>
          <rPr>
            <sz val="11"/>
            <color theme="1"/>
            <rFont val="Aptos Narrow"/>
            <family val="2"/>
            <scheme val="minor"/>
          </rPr>
          <t>Evgeniy Myasin:
Step-down match on Assumptions row 20 (books/day breakpoints).</t>
        </r>
      </text>
    </comment>
    <comment ref="N47" authorId="0" shapeId="0" xr:uid="{00000000-0006-0000-0200-000008000000}">
      <text>
        <r>
          <rPr>
            <sz val="11"/>
            <color theme="1"/>
            <rFont val="Aptos Narrow"/>
            <family val="2"/>
            <scheme val="minor"/>
          </rPr>
          <t>Evgeniy Myasin:
Step-down match on Assumptions row 20 (books/day breakpoints).</t>
        </r>
      </text>
    </comment>
    <comment ref="O47" authorId="0" shapeId="0" xr:uid="{00000000-0006-0000-0200-000009000000}">
      <text>
        <r>
          <rPr>
            <sz val="11"/>
            <color theme="1"/>
            <rFont val="Aptos Narrow"/>
            <family val="2"/>
            <scheme val="minor"/>
          </rPr>
          <t>Evgeniy Myasin:
Step-down match on Assumptions row 20 (books/day breakpoints).</t>
        </r>
      </text>
    </comment>
    <comment ref="P47" authorId="0" shapeId="0" xr:uid="{00000000-0006-0000-0200-00000A000000}">
      <text>
        <r>
          <rPr>
            <sz val="11"/>
            <color theme="1"/>
            <rFont val="Aptos Narrow"/>
            <family val="2"/>
            <scheme val="minor"/>
          </rPr>
          <t>Evgeniy Myasin:
Step-down match on Assumptions row 20 (books/day breakpoints).</t>
        </r>
      </text>
    </comment>
    <comment ref="Q47" authorId="0" shapeId="0" xr:uid="{00000000-0006-0000-0200-00000B000000}">
      <text>
        <r>
          <rPr>
            <sz val="11"/>
            <color theme="1"/>
            <rFont val="Aptos Narrow"/>
            <family val="2"/>
            <scheme val="minor"/>
          </rPr>
          <t>Evgeniy Myasin:
Step-down match on Assumptions row 20 (books/day breakpoints).</t>
        </r>
      </text>
    </comment>
    <comment ref="R47" authorId="0" shapeId="0" xr:uid="{00000000-0006-0000-0200-00000C000000}">
      <text>
        <r>
          <rPr>
            <sz val="11"/>
            <color theme="1"/>
            <rFont val="Aptos Narrow"/>
            <family val="2"/>
            <scheme val="minor"/>
          </rPr>
          <t>Evgeniy Myasin:
Step-down match on Assumptions row 20 (books/day breakpoints).</t>
        </r>
      </text>
    </comment>
    <comment ref="I54" authorId="0" shapeId="0" xr:uid="{00000000-0006-0000-0200-00000D000000}">
      <text>
        <r>
          <rPr>
            <sz val="11"/>
            <color theme="1"/>
            <rFont val="Aptos Narrow"/>
            <family val="2"/>
            <scheme val="minor"/>
          </rPr>
          <t>Evgeniy Myasin:
Sales attributable to royalty templates (pro-rata by template count) x royalty fee (Assumptions!F77).</t>
        </r>
      </text>
    </comment>
    <comment ref="J64" authorId="0" shapeId="0" xr:uid="{00000000-0006-0000-0200-00000E000000}">
      <text>
        <r>
          <rPr>
            <sz val="11"/>
            <color theme="1"/>
            <rFont val="Aptos Narrow"/>
            <family val="2"/>
            <scheme val="minor"/>
          </rPr>
          <t>Evgeniy Myasin:
Pre-launch template assumed at the same rate as the intro set.</t>
        </r>
      </text>
    </comment>
    <comment ref="K64" authorId="0" shapeId="0" xr:uid="{00000000-0006-0000-0200-00000F000000}">
      <text>
        <r>
          <rPr>
            <sz val="11"/>
            <color theme="1"/>
            <rFont val="Aptos Narrow"/>
            <family val="2"/>
            <scheme val="minor"/>
          </rPr>
          <t>Evgeniy Myasin:
Assumptions!F76 - cost per template from 2027 onwards.</t>
        </r>
      </text>
    </comment>
    <comment ref="L64" authorId="0" shapeId="0" xr:uid="{00000000-0006-0000-0200-000010000000}">
      <text>
        <r>
          <rPr>
            <sz val="11"/>
            <color theme="1"/>
            <rFont val="Aptos Narrow"/>
            <family val="2"/>
            <scheme val="minor"/>
          </rPr>
          <t>Evgeniy Myasin:
Assumptions!F76 - cost per template from 2027 onwards.</t>
        </r>
      </text>
    </comment>
    <comment ref="M64" authorId="0" shapeId="0" xr:uid="{00000000-0006-0000-0200-000011000000}">
      <text>
        <r>
          <rPr>
            <sz val="11"/>
            <color theme="1"/>
            <rFont val="Aptos Narrow"/>
            <family val="2"/>
            <scheme val="minor"/>
          </rPr>
          <t>Evgeniy Myasin:
Assumptions!F76 - cost per template from 2027 onwards.</t>
        </r>
      </text>
    </comment>
    <comment ref="N64" authorId="0" shapeId="0" xr:uid="{00000000-0006-0000-0200-000012000000}">
      <text>
        <r>
          <rPr>
            <sz val="11"/>
            <color theme="1"/>
            <rFont val="Aptos Narrow"/>
            <family val="2"/>
            <scheme val="minor"/>
          </rPr>
          <t>Evgeniy Myasin:
Assumptions!F76 - cost per template from 2027 onwards.</t>
        </r>
      </text>
    </comment>
    <comment ref="O64" authorId="0" shapeId="0" xr:uid="{00000000-0006-0000-0200-000013000000}">
      <text>
        <r>
          <rPr>
            <sz val="11"/>
            <color theme="1"/>
            <rFont val="Aptos Narrow"/>
            <family val="2"/>
            <scheme val="minor"/>
          </rPr>
          <t>Evgeniy Myasin:
Assumptions!F76 - cost per template from 2027 onwards.</t>
        </r>
      </text>
    </comment>
    <comment ref="P64" authorId="0" shapeId="0" xr:uid="{00000000-0006-0000-0200-000014000000}">
      <text>
        <r>
          <rPr>
            <sz val="11"/>
            <color theme="1"/>
            <rFont val="Aptos Narrow"/>
            <family val="2"/>
            <scheme val="minor"/>
          </rPr>
          <t>Evgeniy Myasin:
Assumptions!F76 - cost per template from 2027 onwards.</t>
        </r>
      </text>
    </comment>
    <comment ref="Q64" authorId="0" shapeId="0" xr:uid="{00000000-0006-0000-0200-000015000000}">
      <text>
        <r>
          <rPr>
            <sz val="11"/>
            <color theme="1"/>
            <rFont val="Aptos Narrow"/>
            <family val="2"/>
            <scheme val="minor"/>
          </rPr>
          <t>Evgeniy Myasin:
Assumptions!F76 - cost per template from 2027 onwards.</t>
        </r>
      </text>
    </comment>
    <comment ref="R64" authorId="0" shapeId="0" xr:uid="{00000000-0006-0000-0200-000016000000}">
      <text>
        <r>
          <rPr>
            <sz val="11"/>
            <color theme="1"/>
            <rFont val="Aptos Narrow"/>
            <family val="2"/>
            <scheme val="minor"/>
          </rPr>
          <t>Evgeniy Myasin:
Assumptions!F76 - cost per template from 2027 onwards.</t>
        </r>
      </text>
    </comment>
    <comment ref="I81" authorId="0" shapeId="0" xr:uid="{00000000-0006-0000-0200-000017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J81" authorId="0" shapeId="0" xr:uid="{00000000-0006-0000-0200-000018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K81" authorId="0" shapeId="0" xr:uid="{00000000-0006-0000-0200-000019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L81" authorId="0" shapeId="0" xr:uid="{00000000-0006-0000-0200-00001A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M81" authorId="0" shapeId="0" xr:uid="{00000000-0006-0000-0200-00001B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N81" authorId="0" shapeId="0" xr:uid="{00000000-0006-0000-0200-00001C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O81" authorId="0" shapeId="0" xr:uid="{00000000-0006-0000-0200-00001D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P81" authorId="0" shapeId="0" xr:uid="{00000000-0006-0000-0200-00001E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Q81" authorId="0" shapeId="0" xr:uid="{00000000-0006-0000-0200-00001F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 ref="R81" authorId="0" shapeId="0" xr:uid="{00000000-0006-0000-0200-000020000000}">
      <text>
        <r>
          <rPr>
            <sz val="11"/>
            <color theme="1"/>
            <rFont val="Aptos Narrow"/>
            <family val="2"/>
            <scheme val="minor"/>
          </rPr>
          <t>Evgeniy Myasin:
Annual SVS from the 'Tax &amp; Founder income' tab, spread evenly across the model quarters of that year. Computed annually because the min/max contribution bases and the 26.83% rate apply to a full-year base. SVS is genuinely billed quarterly (end Feb/May/Aug/Nov).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Evgeniy Myasin</author>
  </authors>
  <commentList>
    <comment ref="F14" authorId="0" shapeId="0" xr:uid="{00000000-0006-0000-0500-000001000000}">
      <text>
        <r>
          <rPr>
            <sz val="11"/>
            <color theme="1"/>
            <rFont val="Aptos Narrow"/>
            <family val="2"/>
            <scheme val="minor"/>
          </rPr>
          <t>Points at quarterly row 69 ONLY - deliberately NOT the row-68 subtotal, because row 68 now includes SVS (row 70) which is computed in block 2 below. Pointing this at row 68 would create a circular reference.</t>
        </r>
      </text>
    </comment>
    <comment ref="G14" authorId="0" shapeId="0" xr:uid="{00000000-0006-0000-0500-000002000000}">
      <text>
        <r>
          <rPr>
            <sz val="11"/>
            <color theme="1"/>
            <rFont val="Aptos Narrow"/>
            <family val="2"/>
            <scheme val="minor"/>
          </rPr>
          <t>Evgeniy Myasin:
Freelance fee only - no employer social contributions, no 13th/14th payment.</t>
        </r>
      </text>
    </comment>
    <comment ref="H14" authorId="0" shapeId="0" xr:uid="{00000000-0006-0000-0500-000003000000}">
      <text>
        <r>
          <rPr>
            <sz val="11"/>
            <color theme="1"/>
            <rFont val="Aptos Narrow"/>
            <family val="2"/>
            <scheme val="minor"/>
          </rPr>
          <t>Evgeniy Myasin:
Freelance fee only - no employer social contributions, no 13th/14th payment.</t>
        </r>
      </text>
    </comment>
    <comment ref="F15" authorId="0" shapeId="0" xr:uid="{00000000-0006-0000-0500-000004000000}">
      <text>
        <r>
          <rPr>
            <sz val="11"/>
            <color theme="1"/>
            <rFont val="Aptos Narrow"/>
            <family val="2"/>
            <scheme val="minor"/>
          </rPr>
          <t>Linked to quarterly row 72 (Marketing costs) - currently empty, will populate once that block is built.</t>
        </r>
      </text>
    </comment>
    <comment ref="G15" authorId="0" shapeId="0" xr:uid="{00000000-0006-0000-0500-000005000000}">
      <text>
        <r>
          <rPr>
            <sz val="11"/>
            <color theme="1"/>
            <rFont val="Aptos Narrow"/>
            <family val="2"/>
            <scheme val="minor"/>
          </rPr>
          <t>Evgeniy Myasin:
PLACEHOLDER - marketing block not built yet. Replace with a SUMIF link to the quarterly marketing row once it exists.</t>
        </r>
      </text>
    </comment>
    <comment ref="H15" authorId="0" shapeId="0" xr:uid="{00000000-0006-0000-0500-000006000000}">
      <text>
        <r>
          <rPr>
            <sz val="11"/>
            <color theme="1"/>
            <rFont val="Aptos Narrow"/>
            <family val="2"/>
            <scheme val="minor"/>
          </rPr>
          <t>Evgeniy Myasin:
PLACEHOLDER - marketing block not built yet. Replace with a SUMIF link to the quarterly marketing row once it exists.</t>
        </r>
      </text>
    </comment>
    <comment ref="F19" authorId="0" shapeId="0" xr:uid="{00000000-0006-0000-0500-000007000000}">
      <text>
        <r>
          <rPr>
            <sz val="11"/>
            <color theme="1"/>
            <rFont val="Aptos Narrow"/>
            <family val="2"/>
            <scheme val="minor"/>
          </rPr>
          <t>Evgeniy Myasin:
Business registered mid-2026 - insured for H2 only. Min/max contribution base and the flat UV amount are pro-rated on this.</t>
        </r>
      </text>
    </comment>
    <comment ref="F20" authorId="0" shapeId="0" xr:uid="{00000000-0006-0000-0500-000008000000}">
      <text>
        <r>
          <rPr>
            <sz val="11"/>
            <color theme="1"/>
            <rFont val="Aptos Narrow"/>
            <family val="2"/>
            <scheme val="minor"/>
          </rPr>
          <t>Evgeniy Myasin:
Beitragsgrundlage = profit per tax assessment PLUS the PV/KV contributions of that year - i.e. profit BEFORE those contributions. That is why this line uses profit before SVS and there is no circular reference.</t>
        </r>
      </text>
    </comment>
    <comment ref="G20" authorId="0" shapeId="0" xr:uid="{00000000-0006-0000-0500-000009000000}">
      <text>
        <r>
          <rPr>
            <sz val="11"/>
            <color theme="1"/>
            <rFont val="Aptos Narrow"/>
            <family val="2"/>
            <scheme val="minor"/>
          </rPr>
          <t>Evgeniy Myasin:
Beitragsgrundlage = profit per tax assessment PLUS the PV/KV contributions of that year - i.e. profit BEFORE those contributions. That is why this line uses profit before SVS and there is no circular reference.</t>
        </r>
      </text>
    </comment>
    <comment ref="H20" authorId="0" shapeId="0" xr:uid="{00000000-0006-0000-0500-00000A000000}">
      <text>
        <r>
          <rPr>
            <sz val="11"/>
            <color theme="1"/>
            <rFont val="Aptos Narrow"/>
            <family val="2"/>
            <scheme val="minor"/>
          </rPr>
          <t>Evgeniy Myasin:
Beitragsgrundlage = profit per tax assessment PLUS the PV/KV contributions of that year - i.e. profit BEFORE those contributions. That is why this line uses profit before SVS and there is no circular reference.</t>
        </r>
      </text>
    </comment>
    <comment ref="F23" authorId="0" shapeId="0" xr:uid="{00000000-0006-0000-0500-00000B000000}">
      <text>
        <r>
          <rPr>
            <sz val="11"/>
            <color theme="1"/>
            <rFont val="Aptos Narrow"/>
            <family val="2"/>
            <scheme val="minor"/>
          </rPr>
          <t>Evgeniy Myasin:
Floored at the Mindestbeitragsgrundlage - contributions are due even in a loss year.</t>
        </r>
      </text>
    </comment>
    <comment ref="G23" authorId="0" shapeId="0" xr:uid="{00000000-0006-0000-0500-00000C000000}">
      <text>
        <r>
          <rPr>
            <sz val="11"/>
            <color theme="1"/>
            <rFont val="Aptos Narrow"/>
            <family val="2"/>
            <scheme val="minor"/>
          </rPr>
          <t>Evgeniy Myasin:
Floored at the Mindestbeitragsgrundlage - contributions are due even in a loss year.</t>
        </r>
      </text>
    </comment>
    <comment ref="H23" authorId="0" shapeId="0" xr:uid="{00000000-0006-0000-0500-00000D000000}">
      <text>
        <r>
          <rPr>
            <sz val="11"/>
            <color theme="1"/>
            <rFont val="Aptos Narrow"/>
            <family val="2"/>
            <scheme val="minor"/>
          </rPr>
          <t>Evgeniy Myasin:
Floored at the Mindestbeitragsgrundlage - contributions are due even in a loss year.</t>
        </r>
      </text>
    </comment>
    <comment ref="F32" authorId="0" shapeId="0" xr:uid="{00000000-0006-0000-0500-00000E000000}">
      <text>
        <r>
          <rPr>
            <sz val="11"/>
            <color theme="1"/>
            <rFont val="Aptos Narrow"/>
            <family val="2"/>
            <scheme val="minor"/>
          </rPr>
          <t>Evgeniy Myasin:
15% of profit up to EUR 33,000 (max EUR 4,950), automatic and no investment required. Investment-based allowance above EUR 33,000 is NOT modelled.</t>
        </r>
      </text>
    </comment>
    <comment ref="G32" authorId="0" shapeId="0" xr:uid="{00000000-0006-0000-0500-00000F000000}">
      <text>
        <r>
          <rPr>
            <sz val="11"/>
            <color theme="1"/>
            <rFont val="Aptos Narrow"/>
            <family val="2"/>
            <scheme val="minor"/>
          </rPr>
          <t>Evgeniy Myasin:
15% of profit up to EUR 33,000 (max EUR 4,950), automatic and no investment required. Investment-based allowance above EUR 33,000 is NOT modelled.</t>
        </r>
      </text>
    </comment>
    <comment ref="H32" authorId="0" shapeId="0" xr:uid="{00000000-0006-0000-0500-000010000000}">
      <text>
        <r>
          <rPr>
            <sz val="11"/>
            <color theme="1"/>
            <rFont val="Aptos Narrow"/>
            <family val="2"/>
            <scheme val="minor"/>
          </rPr>
          <t>Evgeniy Myasin:
15% of profit up to EUR 33,000 (max EUR 4,950), automatic and no investment required. Investment-based allowance above EUR 33,000 is NOT modelled.</t>
        </r>
      </text>
    </comment>
    <comment ref="F34" authorId="0" shapeId="0" xr:uid="{00000000-0006-0000-0500-000011000000}">
      <text>
        <r>
          <rPr>
            <sz val="11"/>
            <color theme="1"/>
            <rFont val="Aptos Narrow"/>
            <family val="2"/>
            <scheme val="minor"/>
          </rPr>
          <t>Evgeniy Myasin:
No losses brought into the model before 3Q 2026.</t>
        </r>
      </text>
    </comment>
    <comment ref="G34" authorId="0" shapeId="0" xr:uid="{00000000-0006-0000-0500-000012000000}">
      <text>
        <r>
          <rPr>
            <sz val="11"/>
            <color theme="1"/>
            <rFont val="Aptos Narrow"/>
            <family val="2"/>
            <scheme val="minor"/>
          </rPr>
          <t>Opening balance = prior year closing (F35).</t>
        </r>
      </text>
    </comment>
    <comment ref="H34" authorId="0" shapeId="0" xr:uid="{00000000-0006-0000-0500-000013000000}">
      <text>
        <r>
          <rPr>
            <sz val="11"/>
            <color theme="1"/>
            <rFont val="Aptos Narrow"/>
            <family val="2"/>
            <scheme val="minor"/>
          </rPr>
          <t>Opening balance = prior year closing (G35).</t>
        </r>
      </text>
    </comment>
    <comment ref="F50" authorId="0" shapeId="0" xr:uid="{00000000-0006-0000-0500-000014000000}">
      <text>
        <r>
          <rPr>
            <sz val="11"/>
            <color theme="1"/>
            <rFont val="Aptos Narrow"/>
            <family val="2"/>
            <scheme val="minor"/>
          </rPr>
          <t>Evgeniy Myasin:
Profit after SVS less income tax. This is the cash the business can support as Privatentnahme - it is not a payroll cost.</t>
        </r>
      </text>
    </comment>
    <comment ref="G50" authorId="0" shapeId="0" xr:uid="{00000000-0006-0000-0500-000015000000}">
      <text>
        <r>
          <rPr>
            <sz val="11"/>
            <color theme="1"/>
            <rFont val="Aptos Narrow"/>
            <family val="2"/>
            <scheme val="minor"/>
          </rPr>
          <t>Evgeniy Myasin:
Profit after SVS less income tax. This is the cash the business can support as Privatentnahme - it is not a payroll cost.</t>
        </r>
      </text>
    </comment>
    <comment ref="H50" authorId="0" shapeId="0" xr:uid="{00000000-0006-0000-0500-000016000000}">
      <text>
        <r>
          <rPr>
            <sz val="11"/>
            <color theme="1"/>
            <rFont val="Aptos Narrow"/>
            <family val="2"/>
            <scheme val="minor"/>
          </rPr>
          <t>Evgeniy Myasin:
Profit after SVS less income tax. This is the cash the business can support as Privatentnahme - it is not a payroll cost.</t>
        </r>
      </text>
    </comment>
    <comment ref="F51" authorId="0" shapeId="0" xr:uid="{00000000-0006-0000-0500-000017000000}">
      <text>
        <r>
          <rPr>
            <sz val="11"/>
            <color theme="1"/>
            <rFont val="Aptos Narrow"/>
            <family val="2"/>
            <scheme val="minor"/>
          </rPr>
          <t>Evgeniy Myasin:
2026 = H2 only (Jul-Dec).</t>
        </r>
      </text>
    </comment>
    <comment ref="G51" authorId="0" shapeId="0" xr:uid="{00000000-0006-0000-0500-000018000000}">
      <text>
        <r>
          <rPr>
            <sz val="11"/>
            <color theme="1"/>
            <rFont val="Aptos Narrow"/>
            <family val="2"/>
            <scheme val="minor"/>
          </rPr>
          <t>Full calendar year.</t>
        </r>
      </text>
    </comment>
    <comment ref="H51" authorId="0" shapeId="0" xr:uid="{00000000-0006-0000-0500-000019000000}">
      <text>
        <r>
          <rPr>
            <sz val="11"/>
            <color theme="1"/>
            <rFont val="Aptos Narrow"/>
            <family val="2"/>
            <scheme val="minor"/>
          </rPr>
          <t>Full calendar year.</t>
        </r>
      </text>
    </comment>
    <comment ref="F54" authorId="0" shapeId="0" xr:uid="{00000000-0006-0000-0500-00001A000000}">
      <text>
        <r>
          <rPr>
            <sz val="11"/>
            <color theme="1"/>
            <rFont val="Aptos Narrow"/>
            <family val="2"/>
            <scheme val="minor"/>
          </rPr>
          <t>Evgeniy Myasin:
Target starts mid-2027: 2026 = 0, 2027 = 6 (Jul-Dec), 2028 = 12.</t>
        </r>
      </text>
    </comment>
    <comment ref="G54" authorId="0" shapeId="0" xr:uid="{00000000-0006-0000-0500-00001B000000}">
      <text>
        <r>
          <rPr>
            <sz val="11"/>
            <color theme="1"/>
            <rFont val="Aptos Narrow"/>
            <family val="2"/>
            <scheme val="minor"/>
          </rPr>
          <t>Target starts mid-2027: Jul-Dec = 6 months.</t>
        </r>
      </text>
    </comment>
    <comment ref="H54" authorId="0" shapeId="0" xr:uid="{00000000-0006-0000-0500-00001C000000}">
      <text>
        <r>
          <rPr>
            <sz val="11"/>
            <color theme="1"/>
            <rFont val="Aptos Narrow"/>
            <family val="2"/>
            <scheme val="minor"/>
          </rPr>
          <t>Full year at target.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Evgeniy Myasin</author>
  </authors>
  <commentList>
    <comment ref="F90" authorId="0" shapeId="0" xr:uid="{00000000-0006-0000-0700-000001000000}">
      <text>
        <r>
          <rPr>
            <sz val="11"/>
            <color theme="1"/>
            <rFont val="Aptos Narrow"/>
            <family val="2"/>
            <scheme val="minor"/>
          </rPr>
          <t>Evgeniy Myasin:
Source: WKO - Gewerbliche Sozialversicherungsbeitraege Ausmass, https://www.wko.at/sozialversicherung/gewerbliche-sozialversicherungsbeitraege-ausmass (2026)</t>
        </r>
      </text>
    </comment>
    <comment ref="F91" authorId="0" shapeId="0" xr:uid="{00000000-0006-0000-0700-000002000000}">
      <text>
        <r>
          <rPr>
            <sz val="11"/>
            <color theme="1"/>
            <rFont val="Aptos Narrow"/>
            <family val="2"/>
            <scheme val="minor"/>
          </rPr>
          <t>Evgeniy Myasin:
Source: WKO - Gewerbliche Sozialversicherungsbeitraege Ausmass, https://www.wko.at/sozialversicherung/gewerbliche-sozialversicherungsbeitraege-ausmass (2026)</t>
        </r>
      </text>
    </comment>
    <comment ref="F92" authorId="0" shapeId="0" xr:uid="{00000000-0006-0000-0700-000003000000}">
      <text>
        <r>
          <rPr>
            <sz val="11"/>
            <color theme="1"/>
            <rFont val="Aptos Narrow"/>
            <family val="2"/>
            <scheme val="minor"/>
          </rPr>
          <t>Evgeniy Myasin:
Source: WKO - Gewerbliche Sozialversicherungsbeitraege Ausmass, https://www.wko.at/sozialversicherung/gewerbliche-sozialversicherungsbeitraege-ausmass (2026)</t>
        </r>
      </text>
    </comment>
    <comment ref="F94" authorId="0" shapeId="0" xr:uid="{00000000-0006-0000-0700-000004000000}">
      <text>
        <r>
          <rPr>
            <sz val="11"/>
            <color theme="1"/>
            <rFont val="Aptos Narrow"/>
            <family val="2"/>
            <scheme val="minor"/>
          </rPr>
          <t>Evgeniy Myasin:
Flat monthly amount, income-independent (EUR 155.40/year). Source: WKO, https://www.wko.at/sozialversicherung/gewerbliche-sozialversicherungsbeitraege-ausmass (2026)</t>
        </r>
      </text>
    </comment>
    <comment ref="F95" authorId="0" shapeId="0" xr:uid="{00000000-0006-0000-0700-000005000000}">
      <text>
        <r>
          <rPr>
            <sz val="11"/>
            <color theme="1"/>
            <rFont val="Aptos Narrow"/>
            <family val="2"/>
            <scheme val="minor"/>
          </rPr>
          <t>Evgeniy Myasin:
Mindestbeitragsgrundlage 2026: EUR 551.10/month (EUR 6,613.20/year). Payable even at zero or negative profit. Source: WKO, https://www.wko.at/sozialversicherung/gewerbliche-sozialversicherungsbeitraege-ausmass</t>
        </r>
      </text>
    </comment>
    <comment ref="F96" authorId="0" shapeId="0" xr:uid="{00000000-0006-0000-0700-000006000000}">
      <text>
        <r>
          <rPr>
            <sz val="11"/>
            <color theme="1"/>
            <rFont val="Aptos Narrow"/>
            <family val="2"/>
            <scheme val="minor"/>
          </rPr>
          <t>Evgeniy Myasin:
Hoechstbeitragsgrundlage 2026: EUR 8,085/month (EUR 97,020/year). Source: WKO, https://www.wko.at/sozialversicherung/gewerbliche-sozialversicherungsbeitraege-ausmass</t>
        </r>
      </text>
    </comment>
    <comment ref="G100" authorId="0" shapeId="0" xr:uid="{00000000-0006-0000-0700-000007000000}">
      <text>
        <r>
          <rPr>
            <sz val="11"/>
            <color theme="1"/>
            <rFont val="Aptos Narrow"/>
            <family val="2"/>
            <scheme val="minor"/>
          </rPr>
          <t>Evgeniy Myasin:
Source: BMF - Steuertarif, https://www.bmf.gv.at/themen/steuern/arbeitnehmerveranlagung/steuertarif-steuerabsetzbetraege/steuertarif-steuerabsetzbetraege.html (2026 brackets, indexed +1.733%)</t>
        </r>
      </text>
    </comment>
    <comment ref="G101" authorId="0" shapeId="0" xr:uid="{00000000-0006-0000-0700-000008000000}">
      <text>
        <r>
          <rPr>
            <sz val="11"/>
            <color theme="1"/>
            <rFont val="Aptos Narrow"/>
            <family val="2"/>
            <scheme val="minor"/>
          </rPr>
          <t>Evgeniy Myasin:
Source: BMF - Steuertarif, https://www.bmf.gv.at/themen/steuern/arbeitnehmerveranlagung/steuertarif-steuerabsetzbetraege/steuertarif-steuerabsetzbetraege.html (2026)</t>
        </r>
      </text>
    </comment>
    <comment ref="G102" authorId="0" shapeId="0" xr:uid="{00000000-0006-0000-0700-000009000000}">
      <text>
        <r>
          <rPr>
            <sz val="11"/>
            <color theme="1"/>
            <rFont val="Aptos Narrow"/>
            <family val="2"/>
            <scheme val="minor"/>
          </rPr>
          <t>Evgeniy Myasin:
Source: BMF - Steuertarif, https://www.bmf.gv.at/themen/steuern/arbeitnehmerveranlagung/steuertarif-steuerabsetzbetraege/steuertarif-steuerabsetzbetraege.html (2026)</t>
        </r>
      </text>
    </comment>
    <comment ref="G103" authorId="0" shapeId="0" xr:uid="{00000000-0006-0000-0700-00000A000000}">
      <text>
        <r>
          <rPr>
            <sz val="11"/>
            <color theme="1"/>
            <rFont val="Aptos Narrow"/>
            <family val="2"/>
            <scheme val="minor"/>
          </rPr>
          <t>Evgeniy Myasin:
Source: BMF - Steuertarif, https://www.bmf.gv.at/themen/steuern/arbeitnehmerveranlagung/steuertarif-steuerabsetzbetraege/steuertarif-steuerabsetzbetraege.html (2026)</t>
        </r>
      </text>
    </comment>
    <comment ref="G104" authorId="0" shapeId="0" xr:uid="{00000000-0006-0000-0700-00000B000000}">
      <text>
        <r>
          <rPr>
            <sz val="11"/>
            <color theme="1"/>
            <rFont val="Aptos Narrow"/>
            <family val="2"/>
            <scheme val="minor"/>
          </rPr>
          <t>Evgeniy Myasin:
Source: BMF - Steuertarif, https://www.bmf.gv.at/themen/steuern/arbeitnehmerveranlagung/steuertarif-steuerabsetzbetraege/steuertarif-steuerabsetzbetraege.html (2026)</t>
        </r>
      </text>
    </comment>
    <comment ref="G105" authorId="0" shapeId="0" xr:uid="{00000000-0006-0000-0700-00000C000000}">
      <text>
        <r>
          <rPr>
            <sz val="11"/>
            <color theme="1"/>
            <rFont val="Aptos Narrow"/>
            <family val="2"/>
            <scheme val="minor"/>
          </rPr>
          <t>Evgeniy Myasin:
Source: BMF - Steuertarif (2026). 55% above EUR 1m applies 2016-2029.</t>
        </r>
      </text>
    </comment>
    <comment ref="G106" authorId="0" shapeId="0" xr:uid="{00000000-0006-0000-0700-00000D000000}">
      <text>
        <r>
          <rPr>
            <sz val="11"/>
            <color theme="1"/>
            <rFont val="Aptos Narrow"/>
            <family val="2"/>
            <scheme val="minor"/>
          </rPr>
          <t>Evgeniy Myasin:
Technical upper bound - no cap in law.</t>
        </r>
      </text>
    </comment>
    <comment ref="F109" authorId="0" shapeId="0" xr:uid="{00000000-0006-0000-0700-00000E000000}">
      <text>
        <r>
          <rPr>
            <sz val="11"/>
            <color theme="1"/>
            <rFont val="Aptos Narrow"/>
            <family val="2"/>
            <scheme val="minor"/>
          </rPr>
          <t>Evgeniy Myasin:
Source: WKO - Der Gewinnfreibetrag, https://www.wko.at/steuern/der-gewinnfreibetrag . 15% of profit, no investment required.</t>
        </r>
      </text>
    </comment>
    <comment ref="F110" authorId="0" shapeId="0" xr:uid="{00000000-0006-0000-0700-00000F000000}">
      <text>
        <r>
          <rPr>
            <sz val="11"/>
            <color theme="1"/>
            <rFont val="Aptos Narrow"/>
            <family val="2"/>
            <scheme val="minor"/>
          </rPr>
          <t>Evgeniy Myasin:
Source: WKO - Der Gewinnfreibetrag, https://www.wko.at/steuern/der-gewinnfreibetrag . Above EUR 33,000 only the investment-based allowance applies (not modelled).</t>
        </r>
      </text>
    </comment>
    <comment ref="F112" authorId="0" shapeId="0" xr:uid="{00000000-0006-0000-0700-000010000000}">
      <text>
        <r>
          <rPr>
            <sz val="11"/>
            <color theme="1"/>
            <rFont val="Aptos Narrow"/>
            <family val="2"/>
            <scheme val="minor"/>
          </rPr>
          <t>Evgeniy Myasin:
Verlustvortrag. Set to 100% for individuals; parameterised so it can be adjusted.</t>
        </r>
      </text>
    </comment>
  </commentList>
</comments>
</file>

<file path=xl/sharedStrings.xml><?xml version="1.0" encoding="utf-8"?>
<sst xmlns="http://schemas.openxmlformats.org/spreadsheetml/2006/main" count="904" uniqueCount="515">
  <si>
    <t>Marketing calculator — drives order volume &amp; spend into the Quarterly view</t>
  </si>
  <si>
    <t>Yellow-ish = inputs you flex · others are formulas. Columns match the Quarterly view 1:1.</t>
  </si>
  <si>
    <t>Year</t>
  </si>
  <si>
    <t>#</t>
  </si>
  <si>
    <t>Metric</t>
  </si>
  <si>
    <t>Unit</t>
  </si>
  <si>
    <t>1Q 2026</t>
  </si>
  <si>
    <t>2Q 2026</t>
  </si>
  <si>
    <t>3Q 2026</t>
  </si>
  <si>
    <t>4Q 2026</t>
  </si>
  <si>
    <t>1Q 2027</t>
  </si>
  <si>
    <t>2Q 2027</t>
  </si>
  <si>
    <t>3Q 2027</t>
  </si>
  <si>
    <t>4Q2027</t>
  </si>
  <si>
    <t>1Q 2028</t>
  </si>
  <si>
    <t>2Q 2028</t>
  </si>
  <si>
    <t>3Q 2028</t>
  </si>
  <si>
    <t>4Q2028</t>
  </si>
  <si>
    <t>Comments</t>
  </si>
  <si>
    <t>Paid engine</t>
  </si>
  <si>
    <t>Quarterly paid budget</t>
  </si>
  <si>
    <t>EUR</t>
  </si>
  <si>
    <t>INPUT. Promo test lives here — start small, read the real CAC.</t>
  </si>
  <si>
    <t>CPC</t>
  </si>
  <si>
    <t>INPUT. Cost per click (Meta/IG). US-skewed guess until measured.</t>
  </si>
  <si>
    <t>Conversion rate (click→order)</t>
  </si>
  <si>
    <t>%</t>
  </si>
  <si>
    <t>INPUT. 2% base per research; verify with the test.</t>
  </si>
  <si>
    <t>CAC override</t>
  </si>
  <si>
    <t>INPUT (optional). Leave blank to use CPC÷conv. Fill once you MEASURE a real CAC — it then wins.</t>
  </si>
  <si>
    <t>Implied CAC (CPC ÷ conv)</t>
  </si>
  <si>
    <t>Effective CAC</t>
  </si>
  <si>
    <t>Paid orders (quarter)</t>
  </si>
  <si>
    <t>pcs</t>
  </si>
  <si>
    <t>Organic engine</t>
  </si>
  <si>
    <t>Organic orders (quarter)</t>
  </si>
  <si>
    <t>Content tools &amp; production</t>
  </si>
  <si>
    <t>EUR/mo</t>
  </si>
  <si>
    <t>Referral engine</t>
  </si>
  <si>
    <t>Referral share of total orders</t>
  </si>
  <si>
    <t>INPUT. Referred orders as % of all orders (research: 3–5% yr0–1).</t>
  </si>
  <si>
    <t>Referral reward per referred order</t>
  </si>
  <si>
    <t>INPUT. Only bites when share&gt;0.</t>
  </si>
  <si>
    <t>Outputs</t>
  </si>
  <si>
    <t>Paid orders</t>
  </si>
  <si>
    <t>Organic orders</t>
  </si>
  <si>
    <t>Acquired orders (quarter)</t>
  </si>
  <si>
    <t>Referral orders (quarter)</t>
  </si>
  <si>
    <t>Total orders per day (avg, incl. repeat)</t>
  </si>
  <si>
    <t>pcs/day</t>
  </si>
  <si>
    <t>→ feeds Quarterly row 13. Quarter ÷ 90 (30d × 3m).</t>
  </si>
  <si>
    <t>Repeat orders (quarter)</t>
  </si>
  <si>
    <t>Acquisition spend (paid + referral)</t>
  </si>
  <si>
    <t>Content tools (quarter)</t>
  </si>
  <si>
    <t>Total marketing spend (quarter)</t>
  </si>
  <si>
    <t>→ feeds Quarterly row 84 (as a negative OPEX).</t>
  </si>
  <si>
    <t>Blended CAC (excl. tools)</t>
  </si>
  <si>
    <t>Decision metric: acquisition spend ÷ total orders.</t>
  </si>
  <si>
    <t>Fully-loaded CAC (incl. tools)</t>
  </si>
  <si>
    <t>Content tools breakdown (drives row 22)</t>
  </si>
  <si>
    <t>Tool</t>
  </si>
  <si>
    <t>What it's for</t>
  </si>
  <si>
    <t>Canva Pro</t>
  </si>
  <si>
    <t>Hub: layout, resizing, scheduling, Veo video</t>
  </si>
  <si>
    <t>Midjourney</t>
  </si>
  <si>
    <t>Editorial hero imagery (real assets, no fake people)</t>
  </si>
  <si>
    <t>CapCut Pro</t>
  </si>
  <si>
    <t>Reels / short-form video editing</t>
  </si>
  <si>
    <t>Video credits (Kling/Veo)</t>
  </si>
  <si>
    <t>Motion-video top-ups; scales as video grows</t>
  </si>
  <si>
    <t>Claude / ChatGPT</t>
  </si>
  <si>
    <t>Captions &amp; copy — already owned, EUR 0</t>
  </si>
  <si>
    <t>Meta Business Suite</t>
  </si>
  <si>
    <t>Scheduling — free</t>
  </si>
  <si>
    <t>Total tools / month</t>
  </si>
  <si>
    <t>Repeat rate (~within 18 months)</t>
  </si>
  <si>
    <t>Research ~20%. Applied with a ~12-month (4-quarter) lag; repeat orders carry NO CAC.</t>
  </si>
  <si>
    <t>Total investment</t>
  </si>
  <si>
    <t>USD</t>
  </si>
  <si>
    <t>app cost</t>
  </si>
  <si>
    <t>Total 2016-2019</t>
  </si>
  <si>
    <t>Exchange rate</t>
  </si>
  <si>
    <t>RUB:USD</t>
  </si>
  <si>
    <t>Revenue</t>
  </si>
  <si>
    <t>RUB</t>
  </si>
  <si>
    <t>Average check</t>
  </si>
  <si>
    <t>Number of orders</t>
  </si>
  <si>
    <t>pcs/year</t>
  </si>
  <si>
    <t>Profit</t>
  </si>
  <si>
    <t>mnRUB</t>
  </si>
  <si>
    <t>https://companies.rbc.ru/id/1157746985285-ooo-periodika-press/</t>
  </si>
  <si>
    <t>Photobook hard cloth binding  20x20, 40 pages</t>
  </si>
  <si>
    <t>n.a</t>
  </si>
  <si>
    <t>Photobook hard photo cover,  20x20, 40 pages</t>
  </si>
  <si>
    <t>Photobook soft cover,  14x14, 40 pages</t>
  </si>
  <si>
    <t>Zinbook (travel/thematic mini-book), 24pages</t>
  </si>
  <si>
    <t>Photobook hard cloth binding  with cover photo, 20x20, 80 pages</t>
  </si>
  <si>
    <t>Photobook hard photo cover,  20x20, 80 pages</t>
  </si>
  <si>
    <t>New line of business: Kids</t>
  </si>
  <si>
    <t>xx</t>
  </si>
  <si>
    <t>Postcards 10x15, 24pack</t>
  </si>
  <si>
    <t>Headcount (full time)</t>
  </si>
  <si>
    <t>Digital marketing</t>
  </si>
  <si>
    <t>% of revenue</t>
  </si>
  <si>
    <t>Influencer marketing</t>
  </si>
  <si>
    <t>"automated pre-print editing"</t>
  </si>
  <si>
    <t>SLA: priting period 2 days + 1day delivery</t>
  </si>
  <si>
    <t>over 4 years changed 4 typographies and 2 delivery services</t>
  </si>
  <si>
    <t xml:space="preserve">own typography is not the option: very expensive </t>
  </si>
  <si>
    <t>focus is full automation: clients create albums and order automatically goes to server. Every morning from there orders go to print. On evening company gathers ready products to sorting center and then send them to all customers</t>
  </si>
  <si>
    <t>Initially targeted hipsters but then broadened TA: many older people preferred tactil, sustaintalbe things over digital</t>
  </si>
  <si>
    <t>Participated and showed products at events like Picnic Afisha (music festival)</t>
  </si>
  <si>
    <t>offset type of printing vs photopaper?</t>
  </si>
  <si>
    <t>no SEO optimization invesments *if someone searches "buy photobook" - probably not our target audience</t>
  </si>
  <si>
    <t>Marketing: insta, bloggers, target, content marketing -- outsource to agencies</t>
  </si>
  <si>
    <t>During 1st year: gave beta access to app to photo bloggers, photographers, photo communities -- many tested, wrote their reviews -- generated traffic</t>
  </si>
  <si>
    <t>no discounts.only once a year 1+1</t>
  </si>
  <si>
    <t>First launch only 3 products: small book, photo-postcards 20pack, collection of photos ; but many became irrelevant like postcards and printing photos</t>
  </si>
  <si>
    <t>Main product: photobooks</t>
  </si>
  <si>
    <t>Special books, e.g for child memories occurred based on client's demands.</t>
  </si>
  <si>
    <t>1-2% defect rate is normal in printing business. Sometimes 5% even</t>
  </si>
  <si>
    <t>92% of clients are women. We define them as consiousness gedonsists - they value good flowers, have taste, like to buy things like aroma candels etc.</t>
  </si>
  <si>
    <t>errors:</t>
  </si>
  <si>
    <t>1. Started with mobile app - very long and expensive</t>
  </si>
  <si>
    <t>2. Don't try to create ideal product set from the beginning</t>
  </si>
  <si>
    <t>3. was a cheapskate - realized later that better to pay to consultant or outsource some things than learn all by myself</t>
  </si>
  <si>
    <t>4. didn't ask for a help</t>
  </si>
  <si>
    <t>5. didn't have many backup plans (e.g. 10 different types of paper as alternative to main option)</t>
  </si>
  <si>
    <t>6. didn't compare suppliers prices</t>
  </si>
  <si>
    <t>hard input</t>
  </si>
  <si>
    <t>link to Assumptions tab</t>
  </si>
  <si>
    <t>calc</t>
  </si>
  <si>
    <t>not used for calcs</t>
  </si>
  <si>
    <t>Number of orders per month</t>
  </si>
  <si>
    <t>Directional, entering other markets in EU</t>
  </si>
  <si>
    <t>Number of orders per year</t>
  </si>
  <si>
    <t>B2C</t>
  </si>
  <si>
    <t># orders</t>
  </si>
  <si>
    <t>B2B</t>
  </si>
  <si>
    <t>Average check B2C (excl VAT)</t>
  </si>
  <si>
    <t>Premium to competition</t>
  </si>
  <si>
    <t>Average check B2C (with VAT)</t>
  </si>
  <si>
    <t>Average check B2B (excl VAT)</t>
  </si>
  <si>
    <t>assuming capability to charge more from B2B</t>
  </si>
  <si>
    <t>Average check B2B (with VAT)</t>
  </si>
  <si>
    <t>Sales</t>
  </si>
  <si>
    <t>Defect %</t>
  </si>
  <si>
    <t>benchmarks</t>
  </si>
  <si>
    <t>Net sales</t>
  </si>
  <si>
    <t>OPEX</t>
  </si>
  <si>
    <t>COGS</t>
  </si>
  <si>
    <t>Printing</t>
  </si>
  <si>
    <t>from Elanders</t>
  </si>
  <si>
    <t>Packaging</t>
  </si>
  <si>
    <t>Cloud</t>
  </si>
  <si>
    <t>Delivery</t>
  </si>
  <si>
    <t>Royalty to artists</t>
  </si>
  <si>
    <t>assumed, cross-checked with artists</t>
  </si>
  <si>
    <t>Payment processing</t>
  </si>
  <si>
    <t>payment processing websites</t>
  </si>
  <si>
    <t>Salaries</t>
  </si>
  <si>
    <t>Founder (1*3.5k EUR net/month)</t>
  </si>
  <si>
    <t>Gross/year</t>
  </si>
  <si>
    <t>Including taxes and social insurance</t>
  </si>
  <si>
    <t>Customer service (1*2500 EUR net/month)</t>
  </si>
  <si>
    <t>Designer (part time EUR net/month)</t>
  </si>
  <si>
    <t>Marketing</t>
  </si>
  <si>
    <t>Marketing % (of revenue)</t>
  </si>
  <si>
    <t>industry benchmark</t>
  </si>
  <si>
    <t>Cost of free samples</t>
  </si>
  <si>
    <t>Paid ads</t>
  </si>
  <si>
    <t>Design cost</t>
  </si>
  <si>
    <t>Number of templates per year</t>
  </si>
  <si>
    <t>Design templates cost</t>
  </si>
  <si>
    <t>Operations</t>
  </si>
  <si>
    <t>IT support (hosting, licences, etc.)</t>
  </si>
  <si>
    <t>API fee</t>
  </si>
  <si>
    <t>updated 31.07.2026</t>
  </si>
  <si>
    <t>Corporate overhead</t>
  </si>
  <si>
    <t>Company registration</t>
  </si>
  <si>
    <t>estimation</t>
  </si>
  <si>
    <t>Trademark registration</t>
  </si>
  <si>
    <t>Accountant</t>
  </si>
  <si>
    <t>Depreciation</t>
  </si>
  <si>
    <t>Years of depreciation</t>
  </si>
  <si>
    <t>simplified</t>
  </si>
  <si>
    <t>Total OPEX (without contingency)</t>
  </si>
  <si>
    <t>Contingency rate</t>
  </si>
  <si>
    <t>Contingency budget</t>
  </si>
  <si>
    <t>Total OPEX</t>
  </si>
  <si>
    <t>CAPEX</t>
  </si>
  <si>
    <t>Platform development</t>
  </si>
  <si>
    <t>Total costs</t>
  </si>
  <si>
    <t>Margin</t>
  </si>
  <si>
    <t>Gross profit</t>
  </si>
  <si>
    <t>Gross margin</t>
  </si>
  <si>
    <t>EBIT</t>
  </si>
  <si>
    <t>Operating margin</t>
  </si>
  <si>
    <t>Taxes</t>
  </si>
  <si>
    <t>Tax rates (appr.)</t>
  </si>
  <si>
    <t>CIT (income tax)</t>
  </si>
  <si>
    <t>NOPAT (Net operating profit after tax)</t>
  </si>
  <si>
    <t>Divident tax</t>
  </si>
  <si>
    <t>Net income / dividents</t>
  </si>
  <si>
    <t>Cash flow</t>
  </si>
  <si>
    <t>FCF</t>
  </si>
  <si>
    <t>WACC</t>
  </si>
  <si>
    <t>NPV</t>
  </si>
  <si>
    <t>Printing provider</t>
  </si>
  <si>
    <t>Printsmarter</t>
  </si>
  <si>
    <t>Provider index (1=Printsmarter, 2=Elanders)</t>
  </si>
  <si>
    <t>Number of orders per day</t>
  </si>
  <si>
    <t>Driven by Marketing tab (was hard-typed).</t>
  </si>
  <si>
    <t>Number of orders per quarter</t>
  </si>
  <si>
    <t>Share of 40-page books</t>
  </si>
  <si>
    <t>Share of 80-page books</t>
  </si>
  <si>
    <t>Price 40-page book (excl. VAT)</t>
  </si>
  <si>
    <t>Price 40-page book (incl. VAT)</t>
  </si>
  <si>
    <t>Price 80-page book (excl. VAT)</t>
  </si>
  <si>
    <t>Price 80-page book (incl. VAT)</t>
  </si>
  <si>
    <t>Assumed as 0% as printing provider will pay for any defect</t>
  </si>
  <si>
    <t>2nd Engine Revenue</t>
  </si>
  <si>
    <t>Consulting revenue (not related to aevia)</t>
  </si>
  <si>
    <t>Share of AT deliveries</t>
  </si>
  <si>
    <t>Dummy</t>
  </si>
  <si>
    <t>Volume tier (Assumptions col #)</t>
  </si>
  <si>
    <t>Net of customer-paid delivery (Assumptions F114). Carrier cost minus 4.99 charged.</t>
  </si>
  <si>
    <t>Design costs</t>
  </si>
  <si>
    <t>Number of templates (cum)</t>
  </si>
  <si>
    <t>Number of templates (new)</t>
  </si>
  <si>
    <t># of templates with royalty model (cum)</t>
  </si>
  <si>
    <t># of templates with royalty model (new)</t>
  </si>
  <si>
    <t>Share of templates with royalty model</t>
  </si>
  <si>
    <t>Average cost per template</t>
  </si>
  <si>
    <t>IT Licenses&amp;Subscrtiptions</t>
  </si>
  <si>
    <t>rough estimations, considering a lot of things would be automazed and AI costs might grow</t>
  </si>
  <si>
    <t>Business address</t>
  </si>
  <si>
    <t>Office rent</t>
  </si>
  <si>
    <t>Legal fees</t>
  </si>
  <si>
    <t>Other</t>
  </si>
  <si>
    <t>Salaries and social contributions</t>
  </si>
  <si>
    <t>Designer (part time/freelance)</t>
  </si>
  <si>
    <t>Deferred — cannot afford pre-scale (S148). Re-add when volume justifies.</t>
  </si>
  <si>
    <t>SVS</t>
  </si>
  <si>
    <t>Paid + referral rewards + content tools, from Marketing tab.</t>
  </si>
  <si>
    <t>Operating costs</t>
  </si>
  <si>
    <t>Packaging &amp; Delivery</t>
  </si>
  <si>
    <t>Artist royalty (2% of revenue)</t>
  </si>
  <si>
    <t>Payment processing &amp; Cloud</t>
  </si>
  <si>
    <t xml:space="preserve">Net salary for Founders </t>
  </si>
  <si>
    <t>Net salary for Customer service and Designer (contractor)</t>
  </si>
  <si>
    <t>Social insurance &amp; Wage tax</t>
  </si>
  <si>
    <t>Marketing (5-10% of revenue)</t>
  </si>
  <si>
    <t>Design cost (# templates per year = 16)</t>
  </si>
  <si>
    <t>IT (hosting, licences, etc.)</t>
  </si>
  <si>
    <t>Contingency (5%)</t>
  </si>
  <si>
    <t>Founder income &amp; Austrian tax (Einzelunternehmer)</t>
  </si>
  <si>
    <t>Sole trader: no salary. Business profit IS the taxable income. Only SVS contributions are deductible; income tax is private.</t>
  </si>
  <si>
    <t>2026 covers H2 only (Q3+Q4) - the model starts in 3Q 2026.</t>
  </si>
  <si>
    <t>1. Operating result</t>
  </si>
  <si>
    <t>Freelancers (designer)</t>
  </si>
  <si>
    <t>Profit before SVS &amp; tax</t>
  </si>
  <si>
    <t>2. SVS social security contributions</t>
  </si>
  <si>
    <t>Months of SVS liability</t>
  </si>
  <si>
    <t>Contribution base before floor/cap</t>
  </si>
  <si>
    <t>Minimum base (period)</t>
  </si>
  <si>
    <t>Maximum base (period)</t>
  </si>
  <si>
    <t>Contribution base applied</t>
  </si>
  <si>
    <t>Pension insurance (PV)</t>
  </si>
  <si>
    <t>Health insurance (KV)</t>
  </si>
  <si>
    <t>Self-employment provision</t>
  </si>
  <si>
    <t>Accident insurance (UV, flat)</t>
  </si>
  <si>
    <t>Total SVS contributions</t>
  </si>
  <si>
    <t>3. Income tax</t>
  </si>
  <si>
    <t>Profit after SVS (Gewinn)</t>
  </si>
  <si>
    <t>Gewinnfreibetrag (Grundfreibetrag)</t>
  </si>
  <si>
    <t>Profit after Gewinnfreibetrag</t>
  </si>
  <si>
    <t>Loss carry-forward - opening</t>
  </si>
  <si>
    <t>Loss carry-forward used</t>
  </si>
  <si>
    <t>Loss carry-forward - closing</t>
  </si>
  <si>
    <t>Taxable income</t>
  </si>
  <si>
    <t>Income tax, bracket by bracket</t>
  </si>
  <si>
    <t>Total income tax</t>
  </si>
  <si>
    <t>4. Founder net income vs target</t>
  </si>
  <si>
    <t>Net income available to founder</t>
  </si>
  <si>
    <t>Months in period</t>
  </si>
  <si>
    <t>Average net per month</t>
  </si>
  <si>
    <t>Target net draw per month</t>
  </si>
  <si>
    <t>Months at target</t>
  </si>
  <si>
    <t>Target net income</t>
  </si>
  <si>
    <t>Surplus / (gap) vs target</t>
  </si>
  <si>
    <t>https://bruttonetto.finanzrechner.at/en/</t>
  </si>
  <si>
    <t>Y1</t>
  </si>
  <si>
    <t>Y2</t>
  </si>
  <si>
    <t>Y3</t>
  </si>
  <si>
    <t>Founder</t>
  </si>
  <si>
    <t>Monthly Employer contributions as % of gross</t>
  </si>
  <si>
    <t>Net monthly salary</t>
  </si>
  <si>
    <t>Yearly salary (net)</t>
  </si>
  <si>
    <t>Gross salary multiplier</t>
  </si>
  <si>
    <t>Gross salary</t>
  </si>
  <si>
    <t>Total cost</t>
  </si>
  <si>
    <t>Customer support</t>
  </si>
  <si>
    <t>Designer</t>
  </si>
  <si>
    <t>Employer contributions</t>
  </si>
  <si>
    <t>Salaries (founder)</t>
  </si>
  <si>
    <t>Salaries (employees)</t>
  </si>
  <si>
    <t>link to other cell</t>
  </si>
  <si>
    <t>Macro</t>
  </si>
  <si>
    <t>Inflation</t>
  </si>
  <si>
    <t>VAT rate</t>
  </si>
  <si>
    <t>Variable costs</t>
  </si>
  <si>
    <t>2.1.1</t>
  </si>
  <si>
    <t>Production and fulfilment</t>
  </si>
  <si>
    <t># books/day</t>
  </si>
  <si>
    <t># books/month</t>
  </si>
  <si>
    <t>Printing/40 pages unit</t>
  </si>
  <si>
    <t>Printing/80 pages unit</t>
  </si>
  <si>
    <t>Total packaging per unit</t>
  </si>
  <si>
    <t>Packaging/unit</t>
  </si>
  <si>
    <t>Sticker/unit</t>
  </si>
  <si>
    <t>Flyer/unit</t>
  </si>
  <si>
    <t>Delivery/unit AT</t>
  </si>
  <si>
    <t>Delivery/unit DE</t>
  </si>
  <si>
    <t>Cloud/unit</t>
  </si>
  <si>
    <t>assuming 100-200mb pdf size</t>
  </si>
  <si>
    <t>Storage costs per pallet per month</t>
  </si>
  <si>
    <t>assuming the same as per Elanders</t>
  </si>
  <si>
    <t>Elanders</t>
  </si>
  <si>
    <t>1-5 orders assumed the same for now (at least for 6 months)</t>
  </si>
  <si>
    <t>Delivery/unit</t>
  </si>
  <si>
    <t>Total</t>
  </si>
  <si>
    <t>Variable cost factor (10=1), assumed</t>
  </si>
  <si>
    <t>2.1.2</t>
  </si>
  <si>
    <t>Payment processing fees</t>
  </si>
  <si>
    <t>Visa/Mastercard debit</t>
  </si>
  <si>
    <t>% from transaction</t>
  </si>
  <si>
    <t>nexi.at</t>
  </si>
  <si>
    <t>Visa/Mastercard credit</t>
  </si>
  <si>
    <t>Stripe</t>
  </si>
  <si>
    <t>fixed fee, EUR</t>
  </si>
  <si>
    <t>Assumed payment mix</t>
  </si>
  <si>
    <t>% of total transactions</t>
  </si>
  <si>
    <t>2.1.3</t>
  </si>
  <si>
    <t>Design fees</t>
  </si>
  <si>
    <t>Cost per template (40 and 80 pages) with multiple variations</t>
  </si>
  <si>
    <t>Royalty fee</t>
  </si>
  <si>
    <t>% from revenue</t>
  </si>
  <si>
    <t>2.1.4</t>
  </si>
  <si>
    <t>Premium to B2C Price</t>
  </si>
  <si>
    <t>Share of B2B orders from total</t>
  </si>
  <si>
    <t>Austrian tax &amp; social security (Einzelunternehmer)</t>
  </si>
  <si>
    <t>SVS contributions (sole trader)</t>
  </si>
  <si>
    <t>% of base</t>
  </si>
  <si>
    <t>Self-employment provision (Selbstaendigenvorsorge)</t>
  </si>
  <si>
    <t>Total contribution rate</t>
  </si>
  <si>
    <t>Accident insurance (UV), flat</t>
  </si>
  <si>
    <t>EUR/month</t>
  </si>
  <si>
    <t>Minimum contribution base</t>
  </si>
  <si>
    <t>Maximum contribution base</t>
  </si>
  <si>
    <t>Income tax brackets 2026 (progressive)</t>
  </si>
  <si>
    <t>From (EUR)</t>
  </si>
  <si>
    <t>To (EUR)</t>
  </si>
  <si>
    <t>Marginal rate</t>
  </si>
  <si>
    <t>Tier 1</t>
  </si>
  <si>
    <t>Tier 2</t>
  </si>
  <si>
    <t>Tier 3</t>
  </si>
  <si>
    <t>Tier 4</t>
  </si>
  <si>
    <t>Tier 5</t>
  </si>
  <si>
    <t>Tier 6</t>
  </si>
  <si>
    <t>Tier 7</t>
  </si>
  <si>
    <t>Gewinnfreibetrag &amp; loss relief</t>
  </si>
  <si>
    <t>Grundfreibetrag rate</t>
  </si>
  <si>
    <t>% of profit</t>
  </si>
  <si>
    <t>Profit cap for Grundfreibetrag</t>
  </si>
  <si>
    <t>Max Grundfreibetrag</t>
  </si>
  <si>
    <t>Loss carry-forward offsettable</t>
  </si>
  <si>
    <t>% of income</t>
  </si>
  <si>
    <t>Customer delivery charge AT (face value)</t>
  </si>
  <si>
    <t>Capped on par with CEWE. Aevia subsidises the rest of the ~6.60 carrier cost.</t>
  </si>
  <si>
    <t>extras</t>
  </si>
  <si>
    <t>delivery options</t>
  </si>
  <si>
    <t>Size</t>
  </si>
  <si>
    <t>Price (excl. delivery)</t>
  </si>
  <si>
    <t># photos</t>
  </si>
  <si>
    <t>gift wrap</t>
  </si>
  <si>
    <t>free shipping</t>
  </si>
  <si>
    <t>perks</t>
  </si>
  <si>
    <t>free</t>
  </si>
  <si>
    <t>standard</t>
  </si>
  <si>
    <t>express</t>
  </si>
  <si>
    <t>Journi</t>
  </si>
  <si>
    <t>40 pages</t>
  </si>
  <si>
    <t>from 60</t>
  </si>
  <si>
    <t>20% off with registration</t>
  </si>
  <si>
    <t>~10 working days</t>
  </si>
  <si>
    <t>4.99 (7 working days)</t>
  </si>
  <si>
    <t>9.99 (6 working days)</t>
  </si>
  <si>
    <t>CEWE</t>
  </si>
  <si>
    <t>42 pages</t>
  </si>
  <si>
    <t>-</t>
  </si>
  <si>
    <t>5.49 (6-7 working days)</t>
  </si>
  <si>
    <t>12.99 (6 working days)</t>
  </si>
  <si>
    <t>Aug</t>
  </si>
  <si>
    <t>Sep</t>
  </si>
  <si>
    <t>Oct</t>
  </si>
  <si>
    <t>MAU,k</t>
  </si>
  <si>
    <t>bounce rate</t>
  </si>
  <si>
    <t>Top-5 countries</t>
  </si>
  <si>
    <t>MAU by country,k</t>
  </si>
  <si>
    <t>monthly purchase, k</t>
  </si>
  <si>
    <t>yearly purchase</t>
  </si>
  <si>
    <t>US</t>
  </si>
  <si>
    <t>Germany</t>
  </si>
  <si>
    <t>France</t>
  </si>
  <si>
    <t xml:space="preserve">Italy </t>
  </si>
  <si>
    <t>Austria</t>
  </si>
  <si>
    <t>Conversion rates (visits to purchase)</t>
  </si>
  <si>
    <t>https://gripsintelligence.com/insights/retailers/mixbook.com?utm_source=chatgpt.com</t>
  </si>
  <si>
    <t>Mixbook</t>
  </si>
  <si>
    <t>Milk books</t>
  </si>
  <si>
    <t>Artifact Uprising</t>
  </si>
  <si>
    <t>Annual revenue 2024, EUR</t>
  </si>
  <si>
    <t>https://www.trendingtopics.eu/das-grosse-trending-topics-jahres-voting-2024-software/</t>
  </si>
  <si>
    <t>Journi book price</t>
  </si>
  <si>
    <t>Europe</t>
  </si>
  <si>
    <t>Average price</t>
  </si>
  <si>
    <t># orders / year</t>
  </si>
  <si>
    <t>orders from AT/year</t>
  </si>
  <si>
    <t>monthly</t>
  </si>
  <si>
    <t>fotobook.at</t>
  </si>
  <si>
    <t>https://www.dnb.com/business-directory/company-information.professional_and_commercial_equipment_and_supplies_merchant_wholesalers.at.html?page=5</t>
  </si>
  <si>
    <t>% of fotobooks revenue</t>
  </si>
  <si>
    <t>Photobook price</t>
  </si>
  <si>
    <t>Name</t>
  </si>
  <si>
    <t>Country</t>
  </si>
  <si>
    <t>Link</t>
  </si>
  <si>
    <t>Sent request?</t>
  </si>
  <si>
    <t>Received reply?</t>
  </si>
  <si>
    <t>ball on side</t>
  </si>
  <si>
    <t>Poland</t>
  </si>
  <si>
    <t>https://www.elanders.com/pol/print-products/</t>
  </si>
  <si>
    <t>yes</t>
  </si>
  <si>
    <t>good answers</t>
  </si>
  <si>
    <t>their</t>
  </si>
  <si>
    <t>have API</t>
  </si>
  <si>
    <t>Flyeralarm</t>
  </si>
  <si>
    <t>https://www.flyeralarm.com/de/i/kontakt</t>
  </si>
  <si>
    <t>no</t>
  </si>
  <si>
    <t>yes, use calculator from the site</t>
  </si>
  <si>
    <t>my</t>
  </si>
  <si>
    <t>9-11 days printing lead time, no personalized packaging, no API</t>
  </si>
  <si>
    <t>Saal</t>
  </si>
  <si>
    <t>https://www.saal-digital.eu/support/contact-customer-care/</t>
  </si>
  <si>
    <t>good answer to continue (aquamarinkoo mail)</t>
  </si>
  <si>
    <t>Sowadruck</t>
  </si>
  <si>
    <t>https://sowadruk.pl/en/contact</t>
  </si>
  <si>
    <t>Not working for us</t>
  </si>
  <si>
    <t>discard</t>
  </si>
  <si>
    <t>Druck.pl</t>
  </si>
  <si>
    <t>https://druck.pl/kontaktde/</t>
  </si>
  <si>
    <t>no answer</t>
  </si>
  <si>
    <t>printhub.eu</t>
  </si>
  <si>
    <t>https://www.printhub.eu/books-printing-on-demand</t>
  </si>
  <si>
    <t>good answer to estimate</t>
  </si>
  <si>
    <t>1 week production time, no API</t>
  </si>
  <si>
    <t>graspo</t>
  </si>
  <si>
    <t>Czech</t>
  </si>
  <si>
    <t>https://www.graspo.com/en/contact-us</t>
  </si>
  <si>
    <t>Hub</t>
  </si>
  <si>
    <t>Digital press (HP Indigo, Ricoh Pro, etc.)</t>
  </si>
  <si>
    <t>&lt;1w production lead time (from order to delivery)</t>
  </si>
  <si>
    <t>Uncoated 150–170 gsm stock 
(or willing to special-order)</t>
  </si>
  <si>
    <t>Hardcover case-binding: photo-laminate</t>
  </si>
  <si>
    <t>Branded single-book packaging service</t>
  </si>
  <si>
    <t>Order automation (API or SFTP)</t>
  </si>
  <si>
    <t>n/a</t>
  </si>
  <si>
    <t>?</t>
  </si>
  <si>
    <t>Dora</t>
  </si>
  <si>
    <t>Perks</t>
  </si>
  <si>
    <t>Who</t>
  </si>
  <si>
    <t>Deadline</t>
  </si>
  <si>
    <t>Startup Scholarship</t>
  </si>
  <si>
    <t>wirtschaftsagentur.at</t>
  </si>
  <si>
    <t>15 Septermber</t>
  </si>
  <si>
    <t>https://wirtschaftsagentur.at/aktuelle-foerderungen-der-wirtschaftsagentur-wien/foe-gruendungsstipendium/</t>
  </si>
  <si>
    <t>Founders Lab - Creative Industries</t>
  </si>
  <si>
    <t>mentoring</t>
  </si>
  <si>
    <t>Vienna Business Services</t>
  </si>
  <si>
    <t>17 September - 12.12</t>
  </si>
  <si>
    <t>https://vienna.business/events-workshops/founders-lab-creative-industries-2025/</t>
  </si>
  <si>
    <t>Creative industries funding</t>
  </si>
  <si>
    <t>up to 200k</t>
  </si>
  <si>
    <t>Vienna business agency</t>
  </si>
  <si>
    <t>31 November</t>
  </si>
  <si>
    <t>https://wirtschaftsagentur.at/aktuelle-foerderungen-der-wirtschaftsagentur-wien/foerderung-projekt-kreativwirtschaft/</t>
  </si>
  <si>
    <t>Density</t>
  </si>
  <si>
    <t>Paper reference</t>
  </si>
  <si>
    <t>Mohawk Option Smoth</t>
  </si>
  <si>
    <t>148g/m2</t>
  </si>
  <si>
    <t>Soft cover reference</t>
  </si>
  <si>
    <t>Mohawk Eggshell</t>
  </si>
  <si>
    <t>324g/m2</t>
  </si>
  <si>
    <t>Printing machine reference</t>
  </si>
  <si>
    <t>RIKO 9210 (9200)</t>
  </si>
  <si>
    <t>Gmund</t>
  </si>
  <si>
    <t>Printing method</t>
  </si>
  <si>
    <t>offset printing</t>
  </si>
  <si>
    <t>eur</t>
  </si>
  <si>
    <t>eur/pcs</t>
  </si>
  <si>
    <t>Printing paper</t>
  </si>
  <si>
    <t>Offers printing?</t>
  </si>
  <si>
    <t>gmund.com</t>
  </si>
  <si>
    <t xml:space="preserve">yes </t>
  </si>
  <si>
    <t>https://www.gmund.com/shop/de_at/780-digi50.html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</si>
</sst>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quot;\ * #,##0_-;\-&quot;€&quot;\ * #,##0_-;_-&quot;€&quot;\ * &quot;-&quot;_-;_-@_-"/>
    <numFmt numFmtId="44" formatCode="_-&quot;€&quot;\ * #,##0.00_-;\-&quot;€&quot;\ * #,##0.00_-;_-&quot;€&quot;\ * &quot;-&quot;??_-;_-@_-"/>
    <numFmt numFmtId="43" formatCode="_-* #,##0.00_-;\-* #,##0.00_-;_-* &quot;-&quot;??_-;_-@_-"/>
    <numFmt numFmtId="164" formatCode="_-* #,##0_-;\-* #,##0_-;_-* &quot;-&quot;??_-;_-@_-"/>
    <numFmt numFmtId="165" formatCode="_-* #,##0.0_-;\-* #,##0.0_-;_-* &quot;-&quot;?_-;_-@_-"/>
    <numFmt numFmtId="166" formatCode="_-&quot;€&quot;\ * #,##0_-;\-&quot;€&quot;\ * #,##0_-;_-&quot;€&quot;\ * &quot;-&quot;??_-;_-@_-"/>
    <numFmt numFmtId="167" formatCode="0.0"/>
    <numFmt numFmtId="168" formatCode="_-* #,##0.0_-;\-* #,##0.0_-;_-* &quot;-&quot;??_-;_-@_-"/>
    <numFmt numFmtId="169" formatCode="0.0%"/>
    <numFmt numFmtId="170" formatCode="#,##0.0"/>
    <numFmt numFmtId="171" formatCode="#,##0;\(#,##0\);&quot;-&quot;"/>
    <numFmt numFmtId="172" formatCode="_(&quot;€&quot;* #,##0_);_(&quot;€&quot;* \(#,##0\);_(&quot;€&quot;* &quot;-&quot;_);_(@_)"/>
  </numFmts>
  <fonts count="3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color theme="0"/>
      <name val="Aptos Narrow"/>
      <family val="2"/>
      <scheme val="minor"/>
    </font>
    <font>
      <i/>
      <sz val="11"/>
      <color theme="1"/>
      <name val="Aptos Narrow"/>
      <family val="2"/>
      <scheme val="minor"/>
    </font>
    <font>
      <sz val="11"/>
      <color rgb="FFFF0000"/>
      <name val="Aptos Narrow"/>
      <family val="2"/>
      <scheme val="minor"/>
    </font>
    <font>
      <u/>
      <sz val="11"/>
      <color rgb="FFFF0000"/>
      <name val="Aptos Narrow"/>
      <family val="2"/>
      <scheme val="minor"/>
    </font>
    <font>
      <sz val="11"/>
      <color rgb="FF00B0F0"/>
      <name val="Aptos Narrow"/>
      <family val="2"/>
      <scheme val="minor"/>
    </font>
    <font>
      <sz val="10"/>
      <name val="Arial"/>
      <family val="2"/>
    </font>
    <font>
      <u/>
      <sz val="11"/>
      <color theme="10"/>
      <name val="Arial"/>
      <family val="2"/>
    </font>
    <font>
      <sz val="10"/>
      <color theme="1"/>
      <name val="Arial"/>
      <family val="2"/>
    </font>
    <font>
      <i/>
      <sz val="12"/>
      <color theme="7"/>
      <name val="Aptos Narrow"/>
      <family val="2"/>
      <scheme val="minor"/>
    </font>
    <font>
      <sz val="12"/>
      <color theme="0" tint="-0.249977111117893"/>
      <name val="Aptos Narrow"/>
      <family val="2"/>
      <scheme val="minor"/>
    </font>
    <font>
      <sz val="11"/>
      <color theme="7"/>
      <name val="Aptos Narrow"/>
      <family val="2"/>
      <scheme val="minor"/>
    </font>
    <font>
      <i/>
      <sz val="11"/>
      <color theme="7"/>
      <name val="Aptos Narrow"/>
      <family val="2"/>
      <scheme val="minor"/>
    </font>
    <font>
      <b/>
      <sz val="11"/>
      <color theme="7"/>
      <name val="Aptos Narrow"/>
      <family val="2"/>
      <scheme val="minor"/>
    </font>
    <font>
      <b/>
      <sz val="12"/>
      <color theme="1"/>
      <name val="Aptos Narrow"/>
      <family val="2"/>
    </font>
    <font>
      <sz val="12"/>
      <color theme="1"/>
      <name val="Aptos Narrow"/>
      <family val="2"/>
    </font>
    <font>
      <b/>
      <sz val="11"/>
      <color theme="1"/>
      <name val="Aptos Narrow"/>
      <family val="2"/>
    </font>
    <font>
      <sz val="11"/>
      <color rgb="FF000000"/>
      <name val="Aptos Narrow"/>
      <family val="2"/>
      <scheme val="minor"/>
    </font>
    <font>
      <b/>
      <sz val="11"/>
      <color rgb="FF000000"/>
      <name val="Aptos Narrow"/>
      <family val="2"/>
      <scheme val="minor"/>
    </font>
    <font>
      <i/>
      <sz val="11"/>
      <color rgb="FF808080"/>
      <name val="Aptos Narrow"/>
      <family val="2"/>
      <scheme val="minor"/>
    </font>
    <font>
      <sz val="11"/>
      <color rgb="FF0F9ED5"/>
      <name val="Aptos Narrow"/>
      <family val="2"/>
      <scheme val="minor"/>
    </font>
    <font>
      <sz val="11"/>
      <color theme="0" tint="-0.34998626667073579"/>
      <name val="Aptos Narrow"/>
      <family val="2"/>
      <scheme val="minor"/>
    </font>
    <font>
      <b/>
      <sz val="12"/>
      <color theme="1"/>
      <name val="Aptos Narrow"/>
      <family val="2"/>
      <scheme val="minor"/>
    </font>
    <font>
      <sz val="11"/>
      <color rgb="FF0000FF"/>
      <name val="Aptos Narrow"/>
      <family val="2"/>
      <scheme val="minor"/>
    </font>
    <font>
      <b/>
      <sz val="14"/>
      <color theme="1"/>
      <name val="Aptos Narrow"/>
      <family val="2"/>
      <scheme val="minor"/>
    </font>
    <font>
      <i/>
      <sz val="10"/>
      <color rgb="FF808080"/>
      <name val="Aptos Narrow"/>
      <family val="2"/>
      <scheme val="minor"/>
    </font>
    <font>
      <sz val="11"/>
      <color rgb="FF008000"/>
      <name val="Aptos Narrow"/>
      <family val="2"/>
      <scheme val="minor"/>
    </font>
    <font>
      <i/>
      <sz val="11"/>
      <color rgb="FF008000"/>
      <name val="Aptos Narrow"/>
      <family val="2"/>
      <scheme val="minor"/>
    </font>
    <font>
      <b/>
      <i/>
      <sz val="11"/>
      <color rgb="FF808080"/>
      <name val="Aptos Narrow"/>
      <family val="2"/>
      <scheme val="minor"/>
    </font>
    <font>
      <b/>
      <i/>
      <sz val="12"/>
      <color rgb="FF808080"/>
      <name val="Aptos Narrow"/>
      <family val="2"/>
      <scheme val="minor"/>
    </font>
    <font>
      <i/>
      <sz val="11"/>
      <color rgb="FF0000FF"/>
      <name val="Aptos Narrow"/>
      <family val="2"/>
      <scheme val="minor"/>
    </font>
    <font>
      <b/>
      <sz val="11"/>
      <name val="Aptos Narrow"/>
    </font>
    <font>
      <b/>
      <sz val="11"/>
      <color theme="0"/>
      <name val="Aptos Narrow"/>
      <family val="2"/>
    </font>
    <font>
      <b/>
      <sz val="11"/>
      <name val="Aptos Narrow"/>
    </font>
  </fonts>
  <fills count="1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5"/>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FFFFFF"/>
        <bgColor indexed="64"/>
      </patternFill>
    </fill>
    <fill>
      <patternFill patternType="solid">
        <fgColor rgb="FFDAE9F8"/>
        <bgColor indexed="64"/>
      </patternFill>
    </fill>
    <fill>
      <patternFill patternType="solid">
        <fgColor rgb="FF92D050"/>
        <bgColor indexed="64"/>
      </patternFill>
    </fill>
    <fill>
      <patternFill patternType="solid">
        <fgColor rgb="FFE97132"/>
        <bgColor indexed="64"/>
      </patternFill>
    </fill>
    <fill>
      <patternFill patternType="solid">
        <fgColor rgb="FFD9D9D9"/>
        <bgColor indexed="64"/>
      </patternFill>
    </fill>
    <fill>
      <patternFill patternType="solid">
        <fgColor rgb="FFE2EFDA"/>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diagonal/>
    </border>
  </borders>
  <cellStyleXfs count="6">
    <xf numFmtId="0" fontId="0" fillId="0" borderId="0"/>
    <xf numFmtId="43" fontId="1" fillId="0" borderId="0"/>
    <xf numFmtId="9" fontId="1" fillId="0" borderId="0"/>
    <xf numFmtId="0" fontId="4" fillId="0" borderId="0"/>
    <xf numFmtId="0" fontId="10" fillId="0" borderId="0"/>
    <xf numFmtId="0" fontId="1" fillId="0" borderId="0"/>
  </cellStyleXfs>
  <cellXfs count="186">
    <xf numFmtId="0" fontId="0" fillId="0" borderId="0" xfId="0"/>
    <xf numFmtId="164" fontId="0" fillId="0" borderId="0" xfId="1" applyNumberFormat="1" applyFont="1"/>
    <xf numFmtId="165" fontId="0" fillId="0" borderId="0" xfId="0" applyNumberFormat="1"/>
    <xf numFmtId="43" fontId="0" fillId="0" borderId="0" xfId="1" applyFont="1"/>
    <xf numFmtId="9" fontId="0" fillId="0" borderId="0" xfId="0" applyNumberFormat="1"/>
    <xf numFmtId="43" fontId="0" fillId="0" borderId="0" xfId="0" applyNumberFormat="1"/>
    <xf numFmtId="0" fontId="4" fillId="0" borderId="0" xfId="3"/>
    <xf numFmtId="0" fontId="2" fillId="0" borderId="0" xfId="0" applyFont="1"/>
    <xf numFmtId="0" fontId="3" fillId="2" borderId="0" xfId="0" applyFont="1" applyFill="1"/>
    <xf numFmtId="9" fontId="0" fillId="0" borderId="0" xfId="2" applyFont="1"/>
    <xf numFmtId="164" fontId="0" fillId="0" borderId="0" xfId="0" applyNumberFormat="1"/>
    <xf numFmtId="4" fontId="0" fillId="0" borderId="0" xfId="0" applyNumberFormat="1"/>
    <xf numFmtId="0" fontId="0" fillId="3" borderId="0" xfId="0" applyFill="1"/>
    <xf numFmtId="0" fontId="3" fillId="2" borderId="0" xfId="0" applyFont="1" applyFill="1" applyAlignment="1">
      <alignment horizontal="center"/>
    </xf>
    <xf numFmtId="0" fontId="0" fillId="3" borderId="0" xfId="0" applyFill="1" applyAlignment="1">
      <alignment horizontal="center"/>
    </xf>
    <xf numFmtId="0" fontId="5" fillId="4" borderId="0" xfId="0" applyFont="1" applyFill="1" applyAlignment="1">
      <alignment horizontal="center"/>
    </xf>
    <xf numFmtId="0" fontId="5" fillId="4" borderId="0" xfId="0" applyFont="1" applyFill="1"/>
    <xf numFmtId="0" fontId="2" fillId="3" borderId="0" xfId="0" applyFont="1" applyFill="1"/>
    <xf numFmtId="0" fontId="0" fillId="3" borderId="0" xfId="0" applyFill="1" applyAlignment="1">
      <alignment horizontal="left" indent="1"/>
    </xf>
    <xf numFmtId="0" fontId="6" fillId="3" borderId="0" xfId="0" applyFont="1" applyFill="1" applyAlignment="1">
      <alignment horizontal="center"/>
    </xf>
    <xf numFmtId="166" fontId="0" fillId="3" borderId="0" xfId="1" applyNumberFormat="1" applyFont="1" applyFill="1"/>
    <xf numFmtId="167" fontId="0" fillId="3" borderId="0" xfId="0" applyNumberFormat="1" applyFill="1"/>
    <xf numFmtId="0" fontId="0" fillId="3" borderId="0" xfId="0" applyFill="1" applyAlignment="1">
      <alignment horizontal="left" indent="2"/>
    </xf>
    <xf numFmtId="0" fontId="2" fillId="3" borderId="0" xfId="0" applyFont="1" applyFill="1" applyAlignment="1">
      <alignment horizontal="left" indent="1"/>
    </xf>
    <xf numFmtId="0" fontId="7" fillId="0" borderId="0" xfId="0" applyFont="1"/>
    <xf numFmtId="0" fontId="8" fillId="0" borderId="0" xfId="3" applyFont="1"/>
    <xf numFmtId="167" fontId="0" fillId="5" borderId="0" xfId="0" applyNumberFormat="1" applyFill="1"/>
    <xf numFmtId="0" fontId="5" fillId="6" borderId="0" xfId="0" applyFont="1" applyFill="1" applyAlignment="1">
      <alignment horizontal="center"/>
    </xf>
    <xf numFmtId="0" fontId="5" fillId="6" borderId="0" xfId="0" applyFont="1" applyFill="1"/>
    <xf numFmtId="0" fontId="0" fillId="5" borderId="0" xfId="0" applyFill="1"/>
    <xf numFmtId="49" fontId="5" fillId="6" borderId="0" xfId="0" applyNumberFormat="1" applyFont="1" applyFill="1" applyAlignment="1">
      <alignment horizontal="center"/>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9" fontId="0" fillId="3" borderId="0" xfId="0" applyNumberFormat="1" applyFill="1"/>
    <xf numFmtId="42" fontId="2" fillId="3" borderId="0" xfId="0" applyNumberFormat="1" applyFont="1" applyFill="1"/>
    <xf numFmtId="42" fontId="0" fillId="3" borderId="0" xfId="1" applyNumberFormat="1" applyFont="1" applyFill="1"/>
    <xf numFmtId="42" fontId="0" fillId="3" borderId="0" xfId="0" applyNumberFormat="1" applyFill="1"/>
    <xf numFmtId="0" fontId="7" fillId="3" borderId="0" xfId="0" applyFont="1" applyFill="1" applyAlignment="1">
      <alignment horizontal="center"/>
    </xf>
    <xf numFmtId="0" fontId="10" fillId="0" borderId="0" xfId="4"/>
    <xf numFmtId="0" fontId="0" fillId="3" borderId="1" xfId="0" applyFill="1" applyBorder="1"/>
    <xf numFmtId="0" fontId="11" fillId="0" borderId="0" xfId="3" applyFont="1"/>
    <xf numFmtId="0" fontId="12" fillId="0" borderId="0" xfId="5" applyFont="1" applyAlignment="1">
      <alignment horizontal="center"/>
    </xf>
    <xf numFmtId="0" fontId="12" fillId="0" borderId="0" xfId="5" applyFont="1" applyAlignment="1">
      <alignment horizontal="left"/>
    </xf>
    <xf numFmtId="0" fontId="12" fillId="0" borderId="0" xfId="5" applyFont="1"/>
    <xf numFmtId="0" fontId="1" fillId="0" borderId="0" xfId="5"/>
    <xf numFmtId="0" fontId="0" fillId="7" borderId="1" xfId="0" applyFill="1" applyBorder="1"/>
    <xf numFmtId="0" fontId="13" fillId="3" borderId="1" xfId="0" applyFont="1" applyFill="1" applyBorder="1"/>
    <xf numFmtId="0" fontId="14" fillId="3" borderId="1" xfId="0" applyFont="1" applyFill="1" applyBorder="1"/>
    <xf numFmtId="42" fontId="15" fillId="3" borderId="0" xfId="1" applyNumberFormat="1" applyFont="1" applyFill="1"/>
    <xf numFmtId="0" fontId="0" fillId="8" borderId="0" xfId="0" applyFill="1"/>
    <xf numFmtId="167" fontId="16" fillId="3" borderId="0" xfId="0" applyNumberFormat="1" applyFont="1" applyFill="1"/>
    <xf numFmtId="167" fontId="0" fillId="8" borderId="0" xfId="0" applyNumberFormat="1" applyFill="1"/>
    <xf numFmtId="168" fontId="17" fillId="3" borderId="0" xfId="1" applyNumberFormat="1" applyFont="1" applyFill="1"/>
    <xf numFmtId="44" fontId="0" fillId="3" borderId="0" xfId="0" applyNumberFormat="1" applyFill="1"/>
    <xf numFmtId="0" fontId="0" fillId="9" borderId="0" xfId="0" applyFill="1"/>
    <xf numFmtId="42" fontId="15" fillId="9" borderId="0" xfId="1" applyNumberFormat="1" applyFont="1" applyFill="1"/>
    <xf numFmtId="0" fontId="0" fillId="10" borderId="0" xfId="0" applyFill="1"/>
    <xf numFmtId="9" fontId="0" fillId="9" borderId="0" xfId="0" applyNumberFormat="1" applyFill="1"/>
    <xf numFmtId="42" fontId="0" fillId="9" borderId="0" xfId="1" applyNumberFormat="1" applyFont="1" applyFill="1"/>
    <xf numFmtId="10" fontId="0" fillId="9" borderId="0" xfId="0" applyNumberFormat="1" applyFill="1"/>
    <xf numFmtId="167" fontId="0" fillId="10" borderId="0" xfId="0" applyNumberFormat="1" applyFill="1"/>
    <xf numFmtId="164" fontId="2" fillId="3" borderId="0" xfId="1" applyNumberFormat="1" applyFont="1" applyFill="1"/>
    <xf numFmtId="164" fontId="0" fillId="3" borderId="0" xfId="1" applyNumberFormat="1" applyFont="1" applyFill="1"/>
    <xf numFmtId="164" fontId="15" fillId="3" borderId="0" xfId="1" applyNumberFormat="1" applyFont="1" applyFill="1"/>
    <xf numFmtId="164" fontId="0" fillId="9" borderId="0" xfId="1" applyNumberFormat="1" applyFont="1" applyFill="1"/>
    <xf numFmtId="9" fontId="2" fillId="3" borderId="0" xfId="0" applyNumberFormat="1" applyFont="1" applyFill="1"/>
    <xf numFmtId="9" fontId="0" fillId="3" borderId="0" xfId="0" applyNumberFormat="1" applyFill="1" applyAlignment="1">
      <alignment horizontal="center"/>
    </xf>
    <xf numFmtId="169" fontId="0" fillId="3" borderId="0" xfId="0" applyNumberFormat="1" applyFill="1" applyAlignment="1">
      <alignment horizontal="center"/>
    </xf>
    <xf numFmtId="1" fontId="0" fillId="9" borderId="0" xfId="1" applyNumberFormat="1" applyFont="1" applyFill="1"/>
    <xf numFmtId="164" fontId="1" fillId="3" borderId="0" xfId="1" applyNumberFormat="1" applyFill="1"/>
    <xf numFmtId="164" fontId="15" fillId="9" borderId="0" xfId="1" applyNumberFormat="1" applyFont="1" applyFill="1"/>
    <xf numFmtId="0" fontId="0" fillId="8" borderId="1" xfId="0" applyFill="1" applyBorder="1"/>
    <xf numFmtId="42" fontId="15" fillId="8" borderId="0" xfId="1" applyNumberFormat="1" applyFont="1" applyFill="1"/>
    <xf numFmtId="42" fontId="2" fillId="3" borderId="0" xfId="1" applyNumberFormat="1" applyFont="1" applyFill="1"/>
    <xf numFmtId="9" fontId="2" fillId="3" borderId="0" xfId="2" applyFont="1" applyFill="1"/>
    <xf numFmtId="42" fontId="1" fillId="3" borderId="0" xfId="1" applyNumberFormat="1" applyFill="1"/>
    <xf numFmtId="167" fontId="9" fillId="9" borderId="0" xfId="0" applyNumberFormat="1" applyFont="1" applyFill="1"/>
    <xf numFmtId="42" fontId="15" fillId="10" borderId="0" xfId="1" applyNumberFormat="1" applyFont="1" applyFill="1"/>
    <xf numFmtId="0" fontId="0" fillId="5" borderId="0" xfId="0" applyFill="1" applyAlignment="1">
      <alignment horizontal="center"/>
    </xf>
    <xf numFmtId="9" fontId="0" fillId="3" borderId="0" xfId="2" applyFont="1" applyFill="1"/>
    <xf numFmtId="42" fontId="17" fillId="9" borderId="0" xfId="1" applyNumberFormat="1" applyFont="1" applyFill="1"/>
    <xf numFmtId="10" fontId="0" fillId="0" borderId="0" xfId="0" applyNumberFormat="1"/>
    <xf numFmtId="9" fontId="0" fillId="0" borderId="0" xfId="1" applyNumberFormat="1" applyFont="1"/>
    <xf numFmtId="42" fontId="0" fillId="5" borderId="0" xfId="0" applyNumberFormat="1" applyFill="1"/>
    <xf numFmtId="42" fontId="0" fillId="11" borderId="0" xfId="0" applyNumberFormat="1" applyFill="1"/>
    <xf numFmtId="164" fontId="15" fillId="8" borderId="0" xfId="1" applyNumberFormat="1" applyFont="1" applyFill="1"/>
    <xf numFmtId="0" fontId="18" fillId="12" borderId="2" xfId="0" applyFont="1" applyFill="1" applyBorder="1" applyAlignment="1">
      <alignment horizontal="left" wrapText="1" readingOrder="1"/>
    </xf>
    <xf numFmtId="0" fontId="18" fillId="13" borderId="2" xfId="0" applyFont="1" applyFill="1" applyBorder="1" applyAlignment="1">
      <alignment horizontal="left" wrapText="1" readingOrder="1"/>
    </xf>
    <xf numFmtId="0" fontId="19" fillId="0" borderId="2" xfId="0" applyFont="1" applyBorder="1" applyAlignment="1">
      <alignment horizontal="left" wrapText="1" readingOrder="1"/>
    </xf>
    <xf numFmtId="0" fontId="19" fillId="9" borderId="2" xfId="0" applyFont="1" applyFill="1" applyBorder="1" applyAlignment="1">
      <alignment horizontal="left" wrapText="1" readingOrder="1"/>
    </xf>
    <xf numFmtId="42" fontId="18" fillId="13" borderId="2" xfId="0" applyNumberFormat="1" applyFont="1" applyFill="1" applyBorder="1" applyAlignment="1">
      <alignment horizontal="left" wrapText="1" readingOrder="1"/>
    </xf>
    <xf numFmtId="42" fontId="19" fillId="0" borderId="2" xfId="0" applyNumberFormat="1" applyFont="1" applyBorder="1" applyAlignment="1">
      <alignment horizontal="left" wrapText="1" readingOrder="1"/>
    </xf>
    <xf numFmtId="42" fontId="19" fillId="12" borderId="2" xfId="0" applyNumberFormat="1" applyFont="1" applyFill="1" applyBorder="1" applyAlignment="1">
      <alignment horizontal="left" wrapText="1" readingOrder="1"/>
    </xf>
    <xf numFmtId="42" fontId="20" fillId="13" borderId="2" xfId="0" applyNumberFormat="1" applyFont="1" applyFill="1" applyBorder="1" applyAlignment="1">
      <alignment horizontal="left" wrapText="1" readingOrder="1"/>
    </xf>
    <xf numFmtId="42" fontId="19" fillId="9" borderId="2" xfId="0" applyNumberFormat="1" applyFont="1" applyFill="1" applyBorder="1" applyAlignment="1">
      <alignment horizontal="left" wrapText="1" readingOrder="1"/>
    </xf>
    <xf numFmtId="42" fontId="19" fillId="13" borderId="2" xfId="0" applyNumberFormat="1" applyFont="1" applyFill="1" applyBorder="1" applyAlignment="1">
      <alignment horizontal="left" wrapText="1" readingOrder="1"/>
    </xf>
    <xf numFmtId="42" fontId="1" fillId="9" borderId="0" xfId="1" applyNumberFormat="1" applyFill="1"/>
    <xf numFmtId="42" fontId="2" fillId="11" borderId="0" xfId="0" applyNumberFormat="1" applyFont="1" applyFill="1"/>
    <xf numFmtId="10" fontId="0" fillId="3" borderId="0" xfId="0" applyNumberFormat="1" applyFill="1"/>
    <xf numFmtId="4" fontId="0" fillId="3" borderId="0" xfId="0" applyNumberFormat="1" applyFill="1"/>
    <xf numFmtId="169" fontId="0" fillId="3" borderId="0" xfId="0" applyNumberFormat="1" applyFill="1"/>
    <xf numFmtId="44" fontId="2" fillId="3" borderId="0" xfId="0" applyNumberFormat="1" applyFont="1" applyFill="1"/>
    <xf numFmtId="164" fontId="15" fillId="10" borderId="0" xfId="1" applyNumberFormat="1" applyFont="1" applyFill="1"/>
    <xf numFmtId="164" fontId="0" fillId="3" borderId="0" xfId="0" applyNumberFormat="1" applyFill="1"/>
    <xf numFmtId="0" fontId="6" fillId="0" borderId="0" xfId="0" applyFont="1"/>
    <xf numFmtId="170" fontId="0" fillId="0" borderId="0" xfId="0" applyNumberFormat="1"/>
    <xf numFmtId="0" fontId="0" fillId="3" borderId="0" xfId="0" applyFill="1" applyAlignment="1">
      <alignment horizontal="left" indent="3"/>
    </xf>
    <xf numFmtId="2" fontId="9" fillId="9" borderId="0" xfId="0" applyNumberFormat="1" applyFont="1" applyFill="1"/>
    <xf numFmtId="2" fontId="0" fillId="8" borderId="0" xfId="0" applyNumberFormat="1" applyFill="1"/>
    <xf numFmtId="0" fontId="22" fillId="5" borderId="0" xfId="0" applyFont="1" applyFill="1" applyAlignment="1">
      <alignment horizontal="center"/>
    </xf>
    <xf numFmtId="0" fontId="23" fillId="3" borderId="0" xfId="0" applyFont="1" applyFill="1"/>
    <xf numFmtId="0" fontId="0" fillId="3" borderId="0" xfId="0" applyFill="1" applyAlignment="1">
      <alignment horizontal="left"/>
    </xf>
    <xf numFmtId="9" fontId="24" fillId="0" borderId="0" xfId="0" applyNumberFormat="1" applyFont="1" applyAlignment="1">
      <alignment horizontal="center"/>
    </xf>
    <xf numFmtId="1" fontId="23" fillId="3" borderId="0" xfId="0" applyNumberFormat="1" applyFont="1" applyFill="1" applyAlignment="1">
      <alignment horizontal="center"/>
    </xf>
    <xf numFmtId="0" fontId="23" fillId="3" borderId="0" xfId="0" applyFont="1" applyFill="1" applyAlignment="1">
      <alignment horizontal="left"/>
    </xf>
    <xf numFmtId="9" fontId="15" fillId="3" borderId="0" xfId="0" applyNumberFormat="1" applyFont="1" applyFill="1"/>
    <xf numFmtId="0" fontId="25" fillId="3" borderId="0" xfId="0" applyFont="1" applyFill="1"/>
    <xf numFmtId="9" fontId="25" fillId="3" borderId="0" xfId="0" applyNumberFormat="1" applyFont="1" applyFill="1"/>
    <xf numFmtId="0" fontId="25" fillId="0" borderId="0" xfId="0" applyFont="1"/>
    <xf numFmtId="10" fontId="27" fillId="3" borderId="0" xfId="0" applyNumberFormat="1" applyFont="1" applyFill="1"/>
    <xf numFmtId="10" fontId="2" fillId="3" borderId="0" xfId="0" applyNumberFormat="1" applyFont="1" applyFill="1"/>
    <xf numFmtId="4" fontId="27" fillId="3" borderId="0" xfId="0" applyNumberFormat="1" applyFont="1" applyFill="1"/>
    <xf numFmtId="0" fontId="2" fillId="3" borderId="0" xfId="0" applyFont="1" applyFill="1" applyAlignment="1">
      <alignment horizontal="center"/>
    </xf>
    <xf numFmtId="3" fontId="27" fillId="3" borderId="0" xfId="0" applyNumberFormat="1" applyFont="1" applyFill="1"/>
    <xf numFmtId="9" fontId="27" fillId="3" borderId="0" xfId="0" applyNumberFormat="1" applyFont="1" applyFill="1"/>
    <xf numFmtId="3" fontId="0" fillId="3" borderId="0" xfId="0" applyNumberFormat="1" applyFill="1"/>
    <xf numFmtId="3" fontId="2" fillId="3" borderId="0" xfId="0" applyNumberFormat="1" applyFont="1" applyFill="1"/>
    <xf numFmtId="0" fontId="28" fillId="0" borderId="0" xfId="0" applyFont="1"/>
    <xf numFmtId="0" fontId="23" fillId="0" borderId="0" xfId="0" applyFont="1"/>
    <xf numFmtId="0" fontId="29" fillId="0" borderId="0" xfId="0" applyFont="1"/>
    <xf numFmtId="0" fontId="26" fillId="0" borderId="0" xfId="0" applyFont="1"/>
    <xf numFmtId="171" fontId="30" fillId="0" borderId="0" xfId="0" applyNumberFormat="1" applyFont="1"/>
    <xf numFmtId="171" fontId="2" fillId="0" borderId="0" xfId="0" applyNumberFormat="1" applyFont="1"/>
    <xf numFmtId="171" fontId="23" fillId="0" borderId="0" xfId="0" applyNumberFormat="1" applyFont="1"/>
    <xf numFmtId="171" fontId="31" fillId="0" borderId="0" xfId="0" applyNumberFormat="1" applyFont="1"/>
    <xf numFmtId="171" fontId="0" fillId="0" borderId="0" xfId="0" applyNumberFormat="1"/>
    <xf numFmtId="0" fontId="33" fillId="0" borderId="0" xfId="0" applyFont="1"/>
    <xf numFmtId="171" fontId="27" fillId="0" borderId="0" xfId="0" applyNumberFormat="1" applyFont="1"/>
    <xf numFmtId="1" fontId="27" fillId="0" borderId="0" xfId="0" applyNumberFormat="1" applyFont="1" applyAlignment="1">
      <alignment horizontal="center"/>
    </xf>
    <xf numFmtId="3" fontId="27" fillId="0" borderId="0" xfId="0" applyNumberFormat="1" applyFont="1"/>
    <xf numFmtId="171" fontId="21" fillId="0" borderId="0" xfId="0" applyNumberFormat="1" applyFont="1"/>
    <xf numFmtId="0" fontId="2" fillId="0" borderId="3" xfId="0" applyFont="1" applyBorder="1"/>
    <xf numFmtId="1" fontId="2" fillId="0" borderId="3" xfId="0" applyNumberFormat="1" applyFont="1" applyBorder="1" applyAlignment="1">
      <alignment horizontal="center"/>
    </xf>
    <xf numFmtId="0" fontId="2" fillId="0" borderId="4" xfId="0" applyFont="1" applyBorder="1"/>
    <xf numFmtId="0" fontId="0" fillId="0" borderId="4" xfId="0" applyBorder="1"/>
    <xf numFmtId="171" fontId="2" fillId="0" borderId="4" xfId="0" applyNumberFormat="1" applyFont="1" applyBorder="1"/>
    <xf numFmtId="0" fontId="32" fillId="0" borderId="4" xfId="0" applyFont="1" applyBorder="1"/>
    <xf numFmtId="171" fontId="2" fillId="14" borderId="0" xfId="0" applyNumberFormat="1" applyFont="1" applyFill="1"/>
    <xf numFmtId="171" fontId="2" fillId="14" borderId="4" xfId="0" applyNumberFormat="1" applyFont="1" applyFill="1" applyBorder="1"/>
    <xf numFmtId="1" fontId="34" fillId="0" borderId="0" xfId="0" applyNumberFormat="1" applyFont="1" applyAlignment="1">
      <alignment horizontal="center"/>
    </xf>
    <xf numFmtId="171" fontId="30" fillId="9" borderId="0" xfId="0" applyNumberFormat="1" applyFont="1" applyFill="1"/>
    <xf numFmtId="172" fontId="0" fillId="3" borderId="0" xfId="0" applyNumberFormat="1" applyFill="1"/>
    <xf numFmtId="172" fontId="0" fillId="9" borderId="0" xfId="1" applyNumberFormat="1" applyFont="1" applyFill="1"/>
    <xf numFmtId="172" fontId="30" fillId="3" borderId="0" xfId="0" applyNumberFormat="1" applyFont="1" applyFill="1"/>
    <xf numFmtId="43" fontId="25" fillId="3" borderId="0" xfId="1" applyFont="1" applyFill="1"/>
    <xf numFmtId="168" fontId="25" fillId="3" borderId="0" xfId="1" applyNumberFormat="1" applyFont="1" applyFill="1"/>
    <xf numFmtId="172" fontId="30" fillId="9" borderId="0" xfId="0" applyNumberFormat="1" applyFont="1" applyFill="1"/>
    <xf numFmtId="0" fontId="3" fillId="4" borderId="0" xfId="0" applyFont="1" applyFill="1"/>
    <xf numFmtId="44" fontId="25" fillId="3" borderId="0" xfId="0" applyNumberFormat="1" applyFont="1" applyFill="1"/>
    <xf numFmtId="164" fontId="15" fillId="5" borderId="0" xfId="1" applyNumberFormat="1" applyFont="1" applyFill="1"/>
    <xf numFmtId="0" fontId="15" fillId="3" borderId="0" xfId="0" applyFont="1" applyFill="1"/>
    <xf numFmtId="164" fontId="15" fillId="3" borderId="0" xfId="0" applyNumberFormat="1" applyFont="1" applyFill="1"/>
    <xf numFmtId="164" fontId="0" fillId="8" borderId="0" xfId="0" applyNumberFormat="1" applyFill="1"/>
    <xf numFmtId="164" fontId="1" fillId="8" borderId="0" xfId="1" applyNumberFormat="1" applyFill="1"/>
    <xf numFmtId="164" fontId="0" fillId="8" borderId="0" xfId="1" applyNumberFormat="1" applyFont="1" applyFill="1"/>
    <xf numFmtId="42" fontId="17" fillId="3" borderId="0" xfId="0" applyNumberFormat="1" applyFont="1" applyFill="1"/>
    <xf numFmtId="0" fontId="17" fillId="3" borderId="0" xfId="0" applyFont="1" applyFill="1"/>
    <xf numFmtId="172" fontId="15" fillId="3" borderId="0" xfId="0" applyNumberFormat="1" applyFont="1" applyFill="1"/>
    <xf numFmtId="172" fontId="17" fillId="3" borderId="0" xfId="0" applyNumberFormat="1" applyFont="1" applyFill="1"/>
    <xf numFmtId="172" fontId="15" fillId="0" borderId="0" xfId="0" applyNumberFormat="1" applyFont="1"/>
    <xf numFmtId="44" fontId="15" fillId="3" borderId="0" xfId="0" applyNumberFormat="1" applyFont="1" applyFill="1"/>
    <xf numFmtId="164" fontId="17" fillId="3" borderId="0" xfId="1" applyNumberFormat="1" applyFont="1" applyFill="1"/>
    <xf numFmtId="0" fontId="35" fillId="3" borderId="1" xfId="0" applyFont="1" applyFill="1" applyBorder="1"/>
    <xf numFmtId="0" fontId="35" fillId="0" borderId="0" xfId="0" applyFont="1"/>
    <xf numFmtId="3" fontId="0" fillId="0" borderId="0" xfId="0" applyNumberFormat="1"/>
    <xf numFmtId="2" fontId="0" fillId="5" borderId="0" xfId="0" applyNumberFormat="1" applyFill="1"/>
    <xf numFmtId="2" fontId="0" fillId="0" borderId="0" xfId="0" applyNumberFormat="1"/>
    <xf numFmtId="169" fontId="0" fillId="0" borderId="0" xfId="0" applyNumberFormat="1"/>
    <xf numFmtId="0" fontId="36" fillId="2" borderId="0" xfId="0" applyFont="1" applyFill="1"/>
    <xf numFmtId="3" fontId="15" fillId="0" borderId="0" xfId="0" applyNumberFormat="1" applyFont="1"/>
    <xf numFmtId="0" fontId="37" fillId="0" borderId="0" xfId="0" applyFont="1"/>
    <xf numFmtId="164" fontId="1" fillId="10" borderId="0" xfId="1" applyNumberFormat="1" applyFill="1"/>
    <xf numFmtId="3" fontId="0" fillId="5" borderId="0" xfId="0" applyNumberFormat="1" applyFill="1"/>
    <xf numFmtId="0" fontId="0" fillId="0" borderId="0" xfId="0" applyAlignment="1">
      <alignment horizontal="center"/>
    </xf>
    <xf numFmtId="0" fontId="0" fillId="0" borderId="0" xfId="0"/>
  </cellXfs>
  <cellStyles count="6">
    <cellStyle name="Comma" xfId="1" builtinId="3"/>
    <cellStyle name="Hyperlink" xfId="3" builtinId="8"/>
    <cellStyle name="Normal" xfId="0" builtinId="0"/>
    <cellStyle name="Normal 3" xfId="5" xr:uid="{00000000-0005-0000-0000-000005000000}"/>
    <cellStyle name="Normal 4" xfId="4" xr:uid="{00000000-0005-0000-0000-00000400000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mpanies.rbc.ru/id/1157746985285-ooo-periodika-press/"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hyperlink" Target="https://bruttonetto.finanzrechner.at/en/"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3" Type="http://schemas.openxmlformats.org/officeDocument/2006/relationships/hyperlink" Target="https://sowadruk.pl/en/contact" TargetMode="External"/><Relationship Id="rId2" Type="http://schemas.openxmlformats.org/officeDocument/2006/relationships/hyperlink" Target="https://www.flyeralarm.com/de/i/kontakt" TargetMode="External"/><Relationship Id="rId1" Type="http://schemas.openxmlformats.org/officeDocument/2006/relationships/hyperlink" Target="https://www.elanders.com/pol/print-products/" TargetMode="External"/><Relationship Id="rId6" Type="http://schemas.openxmlformats.org/officeDocument/2006/relationships/hyperlink" Target="https://www.graspo.com/en/contact-us" TargetMode="External"/><Relationship Id="rId5" Type="http://schemas.openxmlformats.org/officeDocument/2006/relationships/hyperlink" Target="https://www.printhub.eu/books-printing-on-demand" TargetMode="External"/><Relationship Id="rId4" Type="http://schemas.openxmlformats.org/officeDocument/2006/relationships/hyperlink" Target="https://druck.pl/kontaktde/"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gmund.com/shop/de_at/780-digi50.html" TargetMode="External"/><Relationship Id="rId1" Type="http://schemas.openxmlformats.org/officeDocument/2006/relationships/hyperlink" Target="https://www.gmund.com/de_at/gmund-fullserv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9"/>
  <sheetViews>
    <sheetView topLeftCell="A4" workbookViewId="0">
      <selection activeCell="B15" sqref="B15"/>
    </sheetView>
  </sheetViews>
  <sheetFormatPr defaultColWidth="8.6640625" defaultRowHeight="14.4" x14ac:dyDescent="0.3"/>
  <cols>
    <col min="2" max="2" width="38.109375" bestFit="1" customWidth="1"/>
    <col min="3" max="3" width="15.109375" bestFit="1" customWidth="1"/>
    <col min="4" max="4" width="15" customWidth="1"/>
    <col min="5" max="5" width="14.109375" bestFit="1" customWidth="1"/>
    <col min="6" max="6" width="13.109375" bestFit="1" customWidth="1"/>
    <col min="7" max="7" width="13.6640625" customWidth="1"/>
    <col min="8" max="10" width="11" customWidth="1"/>
    <col min="11" max="11" width="11.6640625" customWidth="1"/>
    <col min="12" max="12" width="16.6640625" customWidth="1"/>
    <col min="13" max="13" width="17.33203125" customWidth="1"/>
    <col min="15" max="15" width="13.109375" bestFit="1" customWidth="1"/>
  </cols>
  <sheetData>
    <row r="2" spans="2:15" x14ac:dyDescent="0.3">
      <c r="B2" t="s">
        <v>77</v>
      </c>
      <c r="C2" t="s">
        <v>78</v>
      </c>
      <c r="D2" s="1">
        <v>200000</v>
      </c>
      <c r="E2" s="3"/>
    </row>
    <row r="3" spans="2:15" x14ac:dyDescent="0.3">
      <c r="B3" t="s">
        <v>79</v>
      </c>
      <c r="C3" t="s">
        <v>78</v>
      </c>
      <c r="D3" s="2">
        <f>D2*0.3</f>
        <v>60000</v>
      </c>
      <c r="G3" s="10">
        <f>100*10^6/G6</f>
        <v>1545595.0540958268</v>
      </c>
    </row>
    <row r="4" spans="2:15" x14ac:dyDescent="0.3">
      <c r="D4" s="5"/>
    </row>
    <row r="5" spans="2:15" x14ac:dyDescent="0.3">
      <c r="B5" s="8" t="s">
        <v>4</v>
      </c>
      <c r="C5" s="8" t="s">
        <v>5</v>
      </c>
      <c r="D5" s="8">
        <v>2016</v>
      </c>
      <c r="E5" s="8">
        <v>2017</v>
      </c>
      <c r="F5" s="8">
        <v>2018</v>
      </c>
      <c r="G5" s="8">
        <v>2019</v>
      </c>
      <c r="H5" s="8">
        <v>2020</v>
      </c>
      <c r="I5" s="8">
        <v>2021</v>
      </c>
      <c r="J5" s="8">
        <v>2022</v>
      </c>
      <c r="K5" s="8">
        <v>2023</v>
      </c>
      <c r="L5" s="8" t="s">
        <v>80</v>
      </c>
      <c r="M5" s="8" t="s">
        <v>18</v>
      </c>
    </row>
    <row r="6" spans="2:15" x14ac:dyDescent="0.3">
      <c r="B6" t="s">
        <v>81</v>
      </c>
      <c r="C6" t="s">
        <v>82</v>
      </c>
      <c r="D6" s="1">
        <v>67</v>
      </c>
      <c r="E6" s="1">
        <v>58</v>
      </c>
      <c r="F6" s="1">
        <v>63</v>
      </c>
      <c r="G6" s="1">
        <v>64.7</v>
      </c>
      <c r="H6" s="1">
        <v>72.17</v>
      </c>
      <c r="I6" s="1">
        <v>73.599999999999994</v>
      </c>
      <c r="J6" s="1">
        <v>68.5</v>
      </c>
      <c r="K6" s="1">
        <v>85.3</v>
      </c>
    </row>
    <row r="7" spans="2:15" x14ac:dyDescent="0.3">
      <c r="B7" t="s">
        <v>83</v>
      </c>
      <c r="C7" t="s">
        <v>84</v>
      </c>
      <c r="D7" s="1"/>
      <c r="E7" s="1"/>
      <c r="F7" s="1"/>
      <c r="G7" s="1"/>
      <c r="H7" s="1"/>
      <c r="I7" s="1"/>
      <c r="J7" s="1"/>
      <c r="K7" s="1"/>
    </row>
    <row r="8" spans="2:15" x14ac:dyDescent="0.3">
      <c r="B8" t="s">
        <v>83</v>
      </c>
      <c r="C8" t="s">
        <v>78</v>
      </c>
      <c r="D8" s="1">
        <f>7.34*10^6/D6</f>
        <v>109552.23880597015</v>
      </c>
      <c r="E8" s="1">
        <f>28.9*10^6/E6</f>
        <v>498275.86206896551</v>
      </c>
      <c r="F8" s="1">
        <f>52.2*10^6/F6</f>
        <v>828571.42857142852</v>
      </c>
      <c r="G8" s="1">
        <f>58.14*10^6/G6</f>
        <v>898608.96445131372</v>
      </c>
      <c r="H8" s="1">
        <f>89.26*10^6/H6</f>
        <v>1236801.9952889013</v>
      </c>
      <c r="I8" s="1">
        <f>125.71*10^6/I6</f>
        <v>1708016.3043478262</v>
      </c>
      <c r="J8" s="1">
        <f>176.13*10^6/J6</f>
        <v>2571240.8759124088</v>
      </c>
      <c r="K8" s="1">
        <f>287.78*10^6/K6</f>
        <v>3373739.7420867528</v>
      </c>
      <c r="L8" s="4">
        <f>_xlfn.RRI($G$5-$D$5,D8,G8)</f>
        <v>1.0167396177194585</v>
      </c>
    </row>
    <row r="9" spans="2:15" x14ac:dyDescent="0.3">
      <c r="B9" t="s">
        <v>85</v>
      </c>
      <c r="C9" t="s">
        <v>78</v>
      </c>
      <c r="D9" s="1">
        <f>1500/D6</f>
        <v>22.388059701492537</v>
      </c>
      <c r="E9" s="1">
        <f>E18/E6</f>
        <v>42.931034482758619</v>
      </c>
      <c r="F9" s="1">
        <v>44</v>
      </c>
      <c r="G9" s="1">
        <f>2900/G6</f>
        <v>44.822256568778975</v>
      </c>
      <c r="H9" s="1"/>
      <c r="I9" s="1"/>
      <c r="J9" s="1"/>
      <c r="K9" s="1"/>
      <c r="O9" s="5"/>
    </row>
    <row r="10" spans="2:15" x14ac:dyDescent="0.3">
      <c r="B10" t="s">
        <v>86</v>
      </c>
      <c r="C10" t="s">
        <v>87</v>
      </c>
      <c r="D10" s="1">
        <f>D8/D9</f>
        <v>4893.333333333333</v>
      </c>
      <c r="E10" s="1">
        <f>E8/E9</f>
        <v>11606.425702811244</v>
      </c>
      <c r="F10" s="1">
        <f>F8/F9</f>
        <v>18831.16883116883</v>
      </c>
      <c r="G10" s="1">
        <f>G8/G9</f>
        <v>20048.275862068967</v>
      </c>
      <c r="H10" s="1"/>
      <c r="I10" s="1"/>
      <c r="J10" s="1"/>
      <c r="K10" s="1"/>
      <c r="L10">
        <f>SUM(D10:G10)</f>
        <v>55379.203729382381</v>
      </c>
      <c r="N10">
        <v>72000</v>
      </c>
      <c r="O10" s="4">
        <f>L10/N10</f>
        <v>0.76915560735253308</v>
      </c>
    </row>
    <row r="11" spans="2:15" x14ac:dyDescent="0.3">
      <c r="B11" t="s">
        <v>86</v>
      </c>
      <c r="C11" t="s">
        <v>49</v>
      </c>
      <c r="D11" s="5">
        <f>D10/365</f>
        <v>13.406392694063927</v>
      </c>
      <c r="E11" s="5">
        <f>E10/365</f>
        <v>31.798426583044506</v>
      </c>
      <c r="F11" s="5">
        <f>F10/365</f>
        <v>51.592243373065287</v>
      </c>
      <c r="G11" s="5">
        <f>G10/365</f>
        <v>54.926783183750594</v>
      </c>
      <c r="H11" s="5"/>
      <c r="I11" s="5"/>
      <c r="J11" s="5"/>
      <c r="K11" s="5"/>
    </row>
    <row r="13" spans="2:15" x14ac:dyDescent="0.3">
      <c r="B13" t="s">
        <v>88</v>
      </c>
      <c r="C13" t="s">
        <v>89</v>
      </c>
      <c r="D13">
        <v>-4.25</v>
      </c>
      <c r="E13">
        <v>-1.81</v>
      </c>
      <c r="F13">
        <v>4.95</v>
      </c>
      <c r="G13">
        <v>4.1500000000000004</v>
      </c>
      <c r="H13">
        <v>4.22</v>
      </c>
      <c r="I13">
        <v>4.45</v>
      </c>
      <c r="J13">
        <v>6.45</v>
      </c>
      <c r="K13">
        <v>24.73</v>
      </c>
      <c r="M13" s="6" t="s">
        <v>90</v>
      </c>
    </row>
    <row r="14" spans="2:15" x14ac:dyDescent="0.3">
      <c r="B14" t="s">
        <v>88</v>
      </c>
      <c r="C14" t="s">
        <v>78</v>
      </c>
      <c r="D14" s="5">
        <f t="shared" ref="D14:K14" si="0">D13/D6*10^6</f>
        <v>-63432.835820895525</v>
      </c>
      <c r="E14" s="5">
        <f t="shared" si="0"/>
        <v>-31206.896551724141</v>
      </c>
      <c r="F14" s="5">
        <f t="shared" si="0"/>
        <v>78571.428571428565</v>
      </c>
      <c r="G14" s="5">
        <f t="shared" si="0"/>
        <v>64142.194744976819</v>
      </c>
      <c r="H14" s="5">
        <f t="shared" si="0"/>
        <v>58473.049743660798</v>
      </c>
      <c r="I14" s="5">
        <f t="shared" si="0"/>
        <v>60461.956521739135</v>
      </c>
      <c r="J14" s="5">
        <f t="shared" si="0"/>
        <v>94160.583941605844</v>
      </c>
      <c r="K14" s="5">
        <f t="shared" si="0"/>
        <v>289917.9366940211</v>
      </c>
      <c r="L14" s="4"/>
    </row>
    <row r="15" spans="2:15" x14ac:dyDescent="0.3">
      <c r="D15" s="9">
        <f t="shared" ref="D15:K15" si="1">D14/D8</f>
        <v>-0.57901907356948235</v>
      </c>
      <c r="E15" s="9">
        <f t="shared" si="1"/>
        <v>-6.262975778546713E-2</v>
      </c>
      <c r="F15" s="9">
        <f t="shared" si="1"/>
        <v>9.4827586206896547E-2</v>
      </c>
      <c r="G15" s="9">
        <f t="shared" si="1"/>
        <v>7.1379428964568295E-2</v>
      </c>
      <c r="H15" s="9">
        <f t="shared" si="1"/>
        <v>4.7277615953394574E-2</v>
      </c>
      <c r="I15" s="9">
        <f t="shared" si="1"/>
        <v>3.5398934054570043E-2</v>
      </c>
      <c r="J15" s="9">
        <f t="shared" si="1"/>
        <v>3.6620677908363139E-2</v>
      </c>
      <c r="K15" s="9">
        <f t="shared" si="1"/>
        <v>8.593369935367294E-2</v>
      </c>
      <c r="L15" s="4"/>
    </row>
    <row r="16" spans="2:15" x14ac:dyDescent="0.3">
      <c r="D16" s="9"/>
      <c r="E16" s="9"/>
      <c r="F16" s="9"/>
      <c r="G16" s="9"/>
      <c r="H16" s="9"/>
      <c r="I16" s="9"/>
      <c r="J16" s="9"/>
      <c r="K16" s="9"/>
      <c r="L16" s="4"/>
    </row>
    <row r="17" spans="2:12" x14ac:dyDescent="0.3">
      <c r="B17" t="s">
        <v>91</v>
      </c>
      <c r="C17" t="s">
        <v>84</v>
      </c>
      <c r="D17" t="s">
        <v>92</v>
      </c>
      <c r="E17">
        <v>2990</v>
      </c>
      <c r="F17">
        <f t="shared" ref="F17:H18" si="2">E17</f>
        <v>2990</v>
      </c>
      <c r="G17">
        <f t="shared" si="2"/>
        <v>2990</v>
      </c>
      <c r="H17">
        <f t="shared" si="2"/>
        <v>2990</v>
      </c>
      <c r="L17" s="4"/>
    </row>
    <row r="18" spans="2:12" x14ac:dyDescent="0.3">
      <c r="B18" t="s">
        <v>93</v>
      </c>
      <c r="D18" t="s">
        <v>92</v>
      </c>
      <c r="E18">
        <v>2490</v>
      </c>
      <c r="F18">
        <f t="shared" si="2"/>
        <v>2490</v>
      </c>
      <c r="G18">
        <f t="shared" si="2"/>
        <v>2490</v>
      </c>
      <c r="H18">
        <f t="shared" si="2"/>
        <v>2490</v>
      </c>
      <c r="L18" s="4"/>
    </row>
    <row r="19" spans="2:12" x14ac:dyDescent="0.3">
      <c r="B19" t="s">
        <v>94</v>
      </c>
      <c r="D19">
        <v>1490</v>
      </c>
      <c r="E19">
        <v>1490</v>
      </c>
      <c r="F19">
        <v>1790</v>
      </c>
      <c r="G19">
        <f>F19</f>
        <v>1790</v>
      </c>
      <c r="H19">
        <f>G19</f>
        <v>1790</v>
      </c>
      <c r="L19" s="4"/>
    </row>
    <row r="20" spans="2:12" x14ac:dyDescent="0.3">
      <c r="B20" t="s">
        <v>95</v>
      </c>
      <c r="G20">
        <v>1490</v>
      </c>
      <c r="H20">
        <f>G20</f>
        <v>1490</v>
      </c>
      <c r="L20" s="4"/>
    </row>
    <row r="21" spans="2:12" x14ac:dyDescent="0.3">
      <c r="B21" t="s">
        <v>96</v>
      </c>
      <c r="G21">
        <v>4490</v>
      </c>
      <c r="H21">
        <f>G21</f>
        <v>4490</v>
      </c>
      <c r="L21" s="11">
        <f>200*12</f>
        <v>2400</v>
      </c>
    </row>
    <row r="22" spans="2:12" x14ac:dyDescent="0.3">
      <c r="B22" t="s">
        <v>97</v>
      </c>
      <c r="G22">
        <v>3990</v>
      </c>
      <c r="H22">
        <f>G22</f>
        <v>3990</v>
      </c>
      <c r="L22" s="4"/>
    </row>
    <row r="23" spans="2:12" x14ac:dyDescent="0.3">
      <c r="B23" t="s">
        <v>98</v>
      </c>
      <c r="G23" t="s">
        <v>99</v>
      </c>
      <c r="L23" s="4"/>
    </row>
    <row r="24" spans="2:12" x14ac:dyDescent="0.3">
      <c r="B24" t="s">
        <v>100</v>
      </c>
      <c r="E24">
        <v>990</v>
      </c>
      <c r="H24">
        <v>1290</v>
      </c>
      <c r="L24" s="4"/>
    </row>
    <row r="25" spans="2:12" x14ac:dyDescent="0.3">
      <c r="L25" s="4"/>
    </row>
    <row r="26" spans="2:12" x14ac:dyDescent="0.3">
      <c r="B26" t="s">
        <v>101</v>
      </c>
      <c r="G26">
        <v>3</v>
      </c>
      <c r="L26" s="4"/>
    </row>
    <row r="27" spans="2:12" x14ac:dyDescent="0.3">
      <c r="L27" s="4"/>
    </row>
    <row r="28" spans="2:12" x14ac:dyDescent="0.3">
      <c r="B28" t="s">
        <v>102</v>
      </c>
      <c r="C28" t="s">
        <v>103</v>
      </c>
      <c r="D28" s="4">
        <v>0.1</v>
      </c>
      <c r="E28" s="4">
        <f>D28</f>
        <v>0.1</v>
      </c>
      <c r="F28" s="4">
        <f>E28</f>
        <v>0.1</v>
      </c>
      <c r="G28" s="4">
        <f>F28</f>
        <v>0.1</v>
      </c>
      <c r="H28" s="4"/>
      <c r="I28" s="4"/>
      <c r="J28" s="4"/>
      <c r="K28" s="4"/>
    </row>
    <row r="29" spans="2:12" x14ac:dyDescent="0.3">
      <c r="B29" t="s">
        <v>104</v>
      </c>
      <c r="C29" t="s">
        <v>103</v>
      </c>
      <c r="D29" s="4">
        <v>0.05</v>
      </c>
      <c r="E29" s="4">
        <v>0.05</v>
      </c>
      <c r="F29" s="4">
        <v>0.05</v>
      </c>
      <c r="G29" s="4">
        <v>0.05</v>
      </c>
      <c r="H29" s="4"/>
      <c r="I29" s="4"/>
      <c r="J29" s="4"/>
      <c r="K29" s="4"/>
    </row>
    <row r="31" spans="2:12" x14ac:dyDescent="0.3">
      <c r="B31" t="s">
        <v>102</v>
      </c>
    </row>
    <row r="32" spans="2:12" x14ac:dyDescent="0.3">
      <c r="B32" t="s">
        <v>104</v>
      </c>
    </row>
    <row r="34" spans="3:3" x14ac:dyDescent="0.3">
      <c r="C34" t="s">
        <v>105</v>
      </c>
    </row>
    <row r="35" spans="3:3" x14ac:dyDescent="0.3">
      <c r="C35" t="s">
        <v>106</v>
      </c>
    </row>
    <row r="36" spans="3:3" x14ac:dyDescent="0.3">
      <c r="C36" t="s">
        <v>107</v>
      </c>
    </row>
    <row r="37" spans="3:3" x14ac:dyDescent="0.3">
      <c r="C37" t="s">
        <v>108</v>
      </c>
    </row>
    <row r="38" spans="3:3" x14ac:dyDescent="0.3">
      <c r="C38" t="s">
        <v>109</v>
      </c>
    </row>
    <row r="39" spans="3:3" x14ac:dyDescent="0.3">
      <c r="C39" t="s">
        <v>110</v>
      </c>
    </row>
    <row r="40" spans="3:3" x14ac:dyDescent="0.3">
      <c r="C40" t="s">
        <v>111</v>
      </c>
    </row>
    <row r="41" spans="3:3" x14ac:dyDescent="0.3">
      <c r="C41" t="s">
        <v>112</v>
      </c>
    </row>
    <row r="42" spans="3:3" x14ac:dyDescent="0.3">
      <c r="C42" t="s">
        <v>113</v>
      </c>
    </row>
    <row r="43" spans="3:3" x14ac:dyDescent="0.3">
      <c r="C43" t="s">
        <v>114</v>
      </c>
    </row>
    <row r="44" spans="3:3" x14ac:dyDescent="0.3">
      <c r="C44" t="s">
        <v>115</v>
      </c>
    </row>
    <row r="45" spans="3:3" x14ac:dyDescent="0.3">
      <c r="C45" t="s">
        <v>116</v>
      </c>
    </row>
    <row r="46" spans="3:3" x14ac:dyDescent="0.3">
      <c r="C46" t="s">
        <v>117</v>
      </c>
    </row>
    <row r="47" spans="3:3" x14ac:dyDescent="0.3">
      <c r="C47" t="s">
        <v>118</v>
      </c>
    </row>
    <row r="48" spans="3:3" x14ac:dyDescent="0.3">
      <c r="C48" t="s">
        <v>119</v>
      </c>
    </row>
    <row r="49" spans="3:3" x14ac:dyDescent="0.3">
      <c r="C49" t="s">
        <v>120</v>
      </c>
    </row>
    <row r="50" spans="3:3" x14ac:dyDescent="0.3">
      <c r="C50" t="s">
        <v>121</v>
      </c>
    </row>
    <row r="53" spans="3:3" x14ac:dyDescent="0.3">
      <c r="C53" s="7" t="s">
        <v>122</v>
      </c>
    </row>
    <row r="54" spans="3:3" x14ac:dyDescent="0.3">
      <c r="C54" t="s">
        <v>123</v>
      </c>
    </row>
    <row r="55" spans="3:3" x14ac:dyDescent="0.3">
      <c r="C55" t="s">
        <v>124</v>
      </c>
    </row>
    <row r="56" spans="3:3" x14ac:dyDescent="0.3">
      <c r="C56" t="s">
        <v>125</v>
      </c>
    </row>
    <row r="57" spans="3:3" x14ac:dyDescent="0.3">
      <c r="C57" t="s">
        <v>126</v>
      </c>
    </row>
    <row r="58" spans="3:3" x14ac:dyDescent="0.3">
      <c r="C58" t="s">
        <v>127</v>
      </c>
    </row>
    <row r="59" spans="3:3" x14ac:dyDescent="0.3">
      <c r="C59" t="s">
        <v>128</v>
      </c>
    </row>
  </sheetData>
  <hyperlinks>
    <hyperlink ref="M13" r:id="rId1" xr:uid="{00000000-0004-0000-00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FB100"/>
  <sheetViews>
    <sheetView topLeftCell="A59" zoomScale="59" zoomScaleNormal="59" workbookViewId="0">
      <selection activeCell="M85" sqref="M85"/>
    </sheetView>
  </sheetViews>
  <sheetFormatPr defaultColWidth="8.6640625" defaultRowHeight="14.4" x14ac:dyDescent="0.3"/>
  <cols>
    <col min="1" max="1" width="8.6640625" style="12" customWidth="1"/>
    <col min="2" max="2" width="4.33203125" style="12" customWidth="1"/>
    <col min="3" max="3" width="1.6640625" style="12" customWidth="1"/>
    <col min="4" max="4" width="36.109375" style="12" customWidth="1"/>
    <col min="5" max="12" width="8.6640625" style="12" customWidth="1"/>
    <col min="13" max="13" width="18.44140625" style="12" customWidth="1"/>
    <col min="14" max="17" width="16.33203125" style="12" customWidth="1"/>
    <col min="18" max="18" width="30" style="14" customWidth="1"/>
    <col min="16383" max="16384" width="8.6640625" style="12" customWidth="1"/>
  </cols>
  <sheetData>
    <row r="2" spans="1:18" x14ac:dyDescent="0.3">
      <c r="A2" s="39"/>
      <c r="B2" s="44"/>
      <c r="C2" s="41"/>
      <c r="D2" s="40" t="s">
        <v>129</v>
      </c>
      <c r="E2" s="42"/>
      <c r="F2" s="42"/>
      <c r="G2" s="42"/>
      <c r="H2" s="42"/>
      <c r="I2" s="42"/>
      <c r="J2" s="42"/>
      <c r="K2" s="42"/>
      <c r="L2" s="42"/>
      <c r="M2" s="42"/>
      <c r="N2" s="42"/>
      <c r="O2" s="42"/>
      <c r="P2" s="42"/>
      <c r="Q2" s="42"/>
      <c r="R2" s="42"/>
    </row>
    <row r="3" spans="1:18" x14ac:dyDescent="0.3">
      <c r="A3" s="39"/>
      <c r="B3" s="44"/>
      <c r="C3" s="41"/>
      <c r="D3" s="72" t="s">
        <v>130</v>
      </c>
      <c r="E3" s="42"/>
      <c r="F3" s="42"/>
      <c r="G3" s="42"/>
      <c r="H3" s="42"/>
      <c r="I3" s="42"/>
      <c r="J3" s="42"/>
      <c r="K3" s="42"/>
      <c r="L3" s="42"/>
      <c r="M3" s="42"/>
      <c r="N3" s="42"/>
      <c r="O3" s="42"/>
      <c r="P3" s="42"/>
      <c r="Q3" s="42"/>
      <c r="R3" s="42"/>
    </row>
    <row r="4" spans="1:18" ht="15.6" customHeight="1" x14ac:dyDescent="0.3">
      <c r="A4" s="39"/>
      <c r="B4" s="44"/>
      <c r="C4" s="41"/>
      <c r="D4" s="47" t="s">
        <v>131</v>
      </c>
      <c r="E4" s="42"/>
      <c r="F4" s="42"/>
      <c r="G4" s="42"/>
      <c r="H4" s="42"/>
      <c r="I4" s="42"/>
      <c r="J4" s="42"/>
      <c r="K4" s="42"/>
      <c r="L4" s="42"/>
      <c r="M4" s="42"/>
      <c r="N4" s="42"/>
      <c r="O4" s="42"/>
      <c r="P4" s="42"/>
      <c r="Q4" s="42"/>
      <c r="R4" s="42"/>
    </row>
    <row r="5" spans="1:18" ht="15.6" customHeight="1" x14ac:dyDescent="0.3">
      <c r="A5" s="39"/>
      <c r="B5" s="44"/>
      <c r="C5" s="41"/>
      <c r="D5" s="48" t="s">
        <v>132</v>
      </c>
      <c r="E5" s="42"/>
      <c r="F5" s="42"/>
      <c r="G5" s="42"/>
      <c r="H5" s="42"/>
      <c r="I5" s="42"/>
      <c r="J5" s="42"/>
      <c r="K5" s="42"/>
      <c r="L5" s="42"/>
      <c r="M5" s="42"/>
      <c r="N5" s="42"/>
      <c r="O5" s="42"/>
      <c r="P5" s="42"/>
      <c r="Q5" s="42"/>
      <c r="R5" s="42"/>
    </row>
    <row r="9" spans="1:18" x14ac:dyDescent="0.3">
      <c r="B9" s="8" t="s">
        <v>3</v>
      </c>
      <c r="D9" s="8" t="s">
        <v>4</v>
      </c>
      <c r="E9" s="8" t="s">
        <v>5</v>
      </c>
      <c r="F9" s="8"/>
      <c r="G9" s="8" t="s">
        <v>8</v>
      </c>
      <c r="H9" s="8" t="s">
        <v>9</v>
      </c>
      <c r="I9" s="8" t="s">
        <v>10</v>
      </c>
      <c r="J9" s="8" t="s">
        <v>11</v>
      </c>
      <c r="K9" s="8" t="s">
        <v>12</v>
      </c>
      <c r="L9" s="8" t="s">
        <v>13</v>
      </c>
      <c r="M9" s="8">
        <v>2026</v>
      </c>
      <c r="N9" s="8">
        <f>M9+1</f>
        <v>2027</v>
      </c>
      <c r="O9" s="8">
        <f>N9+1</f>
        <v>2028</v>
      </c>
      <c r="P9" s="8">
        <v>2029</v>
      </c>
      <c r="Q9" s="8"/>
      <c r="R9" s="13" t="s">
        <v>18</v>
      </c>
    </row>
    <row r="11" spans="1:18" x14ac:dyDescent="0.3">
      <c r="B11" s="15">
        <v>1</v>
      </c>
      <c r="D11" s="16" t="s">
        <v>83</v>
      </c>
      <c r="M11" s="35">
        <f>M16*M18+M20*M17</f>
        <v>60120</v>
      </c>
      <c r="N11" s="35">
        <f>N16*N18+N20*N17</f>
        <v>184334.4</v>
      </c>
      <c r="O11" s="35">
        <f>O16*O18+O20*O17</f>
        <v>313992.72000000003</v>
      </c>
      <c r="P11" s="35">
        <f>P16*P18+P20*P17</f>
        <v>449273.01887999999</v>
      </c>
      <c r="Q11" s="62"/>
    </row>
    <row r="12" spans="1:18" x14ac:dyDescent="0.3">
      <c r="M12" s="63"/>
      <c r="N12" s="63"/>
      <c r="O12" s="63"/>
      <c r="P12" s="63"/>
      <c r="Q12" s="63"/>
    </row>
    <row r="13" spans="1:18" x14ac:dyDescent="0.3">
      <c r="D13" s="12" t="s">
        <v>133</v>
      </c>
      <c r="G13" s="12">
        <v>0</v>
      </c>
      <c r="H13" s="12">
        <v>50</v>
      </c>
      <c r="I13" s="12">
        <v>75</v>
      </c>
      <c r="J13" s="12">
        <v>75</v>
      </c>
      <c r="K13" s="12">
        <v>100</v>
      </c>
      <c r="L13" s="12">
        <v>100</v>
      </c>
      <c r="M13" s="70">
        <v>100</v>
      </c>
      <c r="N13" s="70">
        <v>300</v>
      </c>
      <c r="O13" s="70">
        <v>500</v>
      </c>
      <c r="P13" s="70">
        <v>700</v>
      </c>
      <c r="Q13" s="64"/>
      <c r="R13" s="14" t="s">
        <v>134</v>
      </c>
    </row>
    <row r="14" spans="1:18" x14ac:dyDescent="0.3">
      <c r="D14" s="12" t="s">
        <v>135</v>
      </c>
      <c r="M14" s="71">
        <f>M13*12</f>
        <v>1200</v>
      </c>
      <c r="N14" s="71">
        <f>N13*12</f>
        <v>3600</v>
      </c>
      <c r="O14" s="71">
        <f>O13*12</f>
        <v>6000</v>
      </c>
      <c r="P14" s="71">
        <f>P13*12</f>
        <v>8400</v>
      </c>
      <c r="Q14" s="65"/>
    </row>
    <row r="15" spans="1:18" x14ac:dyDescent="0.3">
      <c r="M15" s="71"/>
      <c r="N15" s="71"/>
      <c r="O15" s="71"/>
      <c r="P15" s="71"/>
      <c r="Q15" s="65"/>
    </row>
    <row r="16" spans="1:18" x14ac:dyDescent="0.3">
      <c r="D16" s="18" t="s">
        <v>136</v>
      </c>
      <c r="E16" s="12" t="s">
        <v>137</v>
      </c>
      <c r="M16" s="71">
        <f>M14-M17</f>
        <v>1176</v>
      </c>
      <c r="N16" s="71">
        <f>N14-N17</f>
        <v>3456</v>
      </c>
      <c r="O16" s="71">
        <f>O14-O17</f>
        <v>5640</v>
      </c>
      <c r="P16" s="71">
        <f>P14-P17</f>
        <v>7728</v>
      </c>
      <c r="Q16" s="65"/>
    </row>
    <row r="17" spans="2:18" x14ac:dyDescent="0.3">
      <c r="D17" s="18" t="s">
        <v>138</v>
      </c>
      <c r="E17" s="12" t="s">
        <v>137</v>
      </c>
      <c r="M17" s="103">
        <f>M14*Assumptions!F$84</f>
        <v>24</v>
      </c>
      <c r="N17" s="86">
        <f>N14*Assumptions!G$84</f>
        <v>144</v>
      </c>
      <c r="O17" s="86">
        <f>O14*Assumptions!H$84</f>
        <v>360</v>
      </c>
      <c r="P17" s="86">
        <f>P14*Assumptions!I$84</f>
        <v>672</v>
      </c>
      <c r="Q17" s="65"/>
    </row>
    <row r="18" spans="2:18" ht="15" customHeight="1" x14ac:dyDescent="0.3">
      <c r="D18" s="12" t="s">
        <v>139</v>
      </c>
      <c r="E18" s="12" t="s">
        <v>21</v>
      </c>
      <c r="M18" s="97">
        <v>50</v>
      </c>
      <c r="N18" s="97">
        <f>M18*(1+Assumptions!$F$11)</f>
        <v>51</v>
      </c>
      <c r="O18" s="97">
        <f>N18*(1+Assumptions!$F$11)</f>
        <v>52.02</v>
      </c>
      <c r="P18" s="97">
        <f>O18*(1+Assumptions!$F$11)</f>
        <v>53.060400000000001</v>
      </c>
      <c r="Q18" s="63"/>
      <c r="R18" s="14" t="s">
        <v>140</v>
      </c>
    </row>
    <row r="19" spans="2:18" x14ac:dyDescent="0.3">
      <c r="D19" s="12" t="s">
        <v>141</v>
      </c>
      <c r="E19" s="12" t="s">
        <v>21</v>
      </c>
      <c r="M19" s="78">
        <f>M18*(1+Assumptions!$F$12)</f>
        <v>60</v>
      </c>
      <c r="N19" s="73">
        <f>N18*(1+Assumptions!$F$12)</f>
        <v>61.199999999999996</v>
      </c>
      <c r="O19" s="73">
        <f>O18*(1+Assumptions!$F$12)</f>
        <v>62.423999999999999</v>
      </c>
      <c r="P19" s="73">
        <f>P18*(1+Assumptions!$F$12)</f>
        <v>63.67248</v>
      </c>
      <c r="Q19" s="63"/>
    </row>
    <row r="20" spans="2:18" x14ac:dyDescent="0.3">
      <c r="D20" s="12" t="s">
        <v>142</v>
      </c>
      <c r="E20" s="12" t="s">
        <v>21</v>
      </c>
      <c r="M20" s="71">
        <f>M18*(1+Assumptions!F$83)</f>
        <v>55.000000000000007</v>
      </c>
      <c r="N20" s="71">
        <f>N18*(1+Assumptions!G$83)</f>
        <v>56.1</v>
      </c>
      <c r="O20" s="71">
        <f>O18*(1+Assumptions!H$83)</f>
        <v>57.222000000000008</v>
      </c>
      <c r="P20" s="71">
        <f>P18*(1+Assumptions!I$83)</f>
        <v>58.366440000000004</v>
      </c>
      <c r="Q20" s="65"/>
      <c r="R20" s="14" t="s">
        <v>143</v>
      </c>
    </row>
    <row r="21" spans="2:18" x14ac:dyDescent="0.3">
      <c r="D21" s="12" t="s">
        <v>144</v>
      </c>
      <c r="E21" s="12" t="s">
        <v>21</v>
      </c>
      <c r="M21" s="73">
        <f>M20*(1+Assumptions!$F$12)</f>
        <v>66</v>
      </c>
      <c r="N21" s="73">
        <f>N20*(1+Assumptions!$F$12)</f>
        <v>67.319999999999993</v>
      </c>
      <c r="O21" s="73">
        <f>O20*(1+Assumptions!$F$12)</f>
        <v>68.66640000000001</v>
      </c>
      <c r="P21" s="73">
        <f>P20*(1+Assumptions!$F$12)</f>
        <v>70.039727999999997</v>
      </c>
      <c r="Q21" s="65"/>
    </row>
    <row r="23" spans="2:18" x14ac:dyDescent="0.3">
      <c r="D23" s="17" t="s">
        <v>145</v>
      </c>
      <c r="E23" s="17"/>
      <c r="F23" s="17"/>
      <c r="G23" s="17"/>
      <c r="H23" s="17"/>
      <c r="I23" s="17"/>
      <c r="J23" s="17"/>
      <c r="K23" s="17"/>
      <c r="L23" s="17"/>
      <c r="M23" s="81">
        <f>M24+M25</f>
        <v>60120</v>
      </c>
      <c r="N23" s="81">
        <f>N24+N25</f>
        <v>184334.4</v>
      </c>
      <c r="O23" s="81">
        <f>O24+O25</f>
        <v>313992.72000000003</v>
      </c>
      <c r="P23" s="81">
        <f>P24+P25</f>
        <v>449273.01887999999</v>
      </c>
      <c r="Q23" s="63"/>
    </row>
    <row r="24" spans="2:18" x14ac:dyDescent="0.3">
      <c r="D24" s="18" t="s">
        <v>136</v>
      </c>
      <c r="M24" s="56">
        <f>M16*M18</f>
        <v>58800</v>
      </c>
      <c r="N24" s="56">
        <f>N16*N18</f>
        <v>176256</v>
      </c>
      <c r="O24" s="56">
        <f>O16*O18</f>
        <v>293392.80000000005</v>
      </c>
      <c r="P24" s="56">
        <f>P16*P18</f>
        <v>410050.77120000002</v>
      </c>
      <c r="Q24" s="63"/>
    </row>
    <row r="25" spans="2:18" x14ac:dyDescent="0.3">
      <c r="D25" s="18" t="s">
        <v>138</v>
      </c>
      <c r="M25" s="56">
        <f>M17*M20</f>
        <v>1320.0000000000002</v>
      </c>
      <c r="N25" s="56">
        <f>N17*N20</f>
        <v>8078.4000000000005</v>
      </c>
      <c r="O25" s="56">
        <f>O17*O20</f>
        <v>20599.920000000002</v>
      </c>
      <c r="P25" s="56">
        <f>P17*P20</f>
        <v>39222.24768</v>
      </c>
      <c r="Q25" s="63"/>
    </row>
    <row r="26" spans="2:18" x14ac:dyDescent="0.3">
      <c r="D26" s="12" t="s">
        <v>146</v>
      </c>
      <c r="M26" s="80">
        <v>0.02</v>
      </c>
      <c r="N26" s="80">
        <v>0.02</v>
      </c>
      <c r="O26" s="80">
        <v>0.02</v>
      </c>
      <c r="P26" s="80">
        <v>0.02</v>
      </c>
      <c r="Q26" s="80"/>
      <c r="R26" s="14" t="s">
        <v>147</v>
      </c>
    </row>
    <row r="27" spans="2:18" x14ac:dyDescent="0.3">
      <c r="D27" s="12" t="s">
        <v>148</v>
      </c>
      <c r="M27" s="56">
        <f>M23*(1-M26)</f>
        <v>58917.599999999999</v>
      </c>
      <c r="N27" s="56">
        <f>N23*(1-N26)</f>
        <v>180647.712</v>
      </c>
      <c r="O27" s="56">
        <f>O23*(1-O26)</f>
        <v>307712.86560000002</v>
      </c>
      <c r="P27" s="56">
        <f>P23*(1-P26)</f>
        <v>440287.5585024</v>
      </c>
      <c r="Q27" s="63"/>
    </row>
    <row r="29" spans="2:18" x14ac:dyDescent="0.3">
      <c r="B29" s="15">
        <v>2</v>
      </c>
      <c r="D29" s="16" t="s">
        <v>149</v>
      </c>
      <c r="M29" s="35" t="e">
        <f>M78</f>
        <v>#N/A</v>
      </c>
      <c r="N29" s="35" t="e">
        <f>N78</f>
        <v>#N/A</v>
      </c>
      <c r="O29" s="35" t="e">
        <f>O78</f>
        <v>#N/A</v>
      </c>
      <c r="P29" s="35" t="e">
        <f>P78</f>
        <v>#N/A</v>
      </c>
      <c r="Q29" s="35"/>
    </row>
    <row r="31" spans="2:18" x14ac:dyDescent="0.3">
      <c r="D31" s="17" t="s">
        <v>150</v>
      </c>
      <c r="M31" s="35" t="e">
        <f>SUM(M32:M37)</f>
        <v>#N/A</v>
      </c>
      <c r="N31" s="35" t="e">
        <f>SUM(N32:N37)</f>
        <v>#N/A</v>
      </c>
      <c r="O31" s="35" t="e">
        <f>SUM(O32:O37)</f>
        <v>#N/A</v>
      </c>
      <c r="P31" s="35" t="e">
        <f>SUM(P32:P37)</f>
        <v>#N/A</v>
      </c>
    </row>
    <row r="32" spans="2:18" x14ac:dyDescent="0.3">
      <c r="D32" s="18" t="s">
        <v>151</v>
      </c>
      <c r="E32" s="19"/>
      <c r="F32" s="19"/>
      <c r="G32" s="19"/>
      <c r="H32" s="19"/>
      <c r="I32" s="19"/>
      <c r="J32" s="19"/>
      <c r="K32" s="19"/>
      <c r="L32" s="19"/>
      <c r="M32" s="78" t="e">
        <f t="array" ref="M32">-INDEX(Assumptions!$F$37:$N$37,,MATCH(M$13,Assumptions!$F$20:$N$20,0))*M14</f>
        <v>#N/A</v>
      </c>
      <c r="N32" s="78" t="e">
        <f t="array" ref="N32">-INDEX(Assumptions!$F$37:$N$37,,MATCH(N$13,Assumptions!$F$20:$N$20,0))*N14</f>
        <v>#N/A</v>
      </c>
      <c r="O32" s="78" t="e">
        <f t="array" ref="O32">-INDEX(Assumptions!$F$37:$N$37,,MATCH(O$13,Assumptions!$F$20:$N$20,0))*O14</f>
        <v>#N/A</v>
      </c>
      <c r="P32" s="78" t="e">
        <f t="array" ref="P32">-INDEX(Assumptions!$F$37:$N$37,,MATCH(P$13,Assumptions!$F$20:$N$20,0))*P14</f>
        <v>#N/A</v>
      </c>
      <c r="Q32" s="20"/>
      <c r="R32" s="19" t="s">
        <v>152</v>
      </c>
    </row>
    <row r="33" spans="4:25" x14ac:dyDescent="0.3">
      <c r="D33" s="18" t="s">
        <v>153</v>
      </c>
      <c r="E33" s="19"/>
      <c r="F33" s="19"/>
      <c r="G33" s="19"/>
      <c r="H33" s="19"/>
      <c r="I33" s="19"/>
      <c r="J33" s="19"/>
      <c r="K33" s="19"/>
      <c r="L33" s="19"/>
      <c r="M33" s="78" t="e">
        <f t="array" ref="M33">-INDEX(Assumptions!$F$50:$N$50,,MATCH(M$13,Assumptions!$F$20:$N$20,0))*M14</f>
        <v>#N/A</v>
      </c>
      <c r="N33" s="73" t="e">
        <f t="array" ref="N33">-INDEX(Assumptions!$F$50:$N$50,,MATCH(N$13,Assumptions!$F$20:$N$20,0))*N14</f>
        <v>#N/A</v>
      </c>
      <c r="O33" s="73" t="e">
        <f t="array" ref="O33">-INDEX(Assumptions!$F$50:$N$50,,MATCH(O$13,Assumptions!$F$20:$N$20,0))*O14</f>
        <v>#N/A</v>
      </c>
      <c r="P33" s="73" t="e">
        <f t="array" ref="P33">-INDEX(Assumptions!$F$50:$N$50,,MATCH(P$13,Assumptions!$F$20:$N$20,0))*P14</f>
        <v>#N/A</v>
      </c>
      <c r="R33" s="19" t="s">
        <v>152</v>
      </c>
    </row>
    <row r="34" spans="4:25" x14ac:dyDescent="0.3">
      <c r="D34" s="18" t="s">
        <v>154</v>
      </c>
      <c r="E34" s="19"/>
      <c r="F34" s="19"/>
      <c r="G34" s="19"/>
      <c r="H34" s="19"/>
      <c r="I34" s="19"/>
      <c r="J34" s="19"/>
      <c r="K34" s="19"/>
      <c r="L34" s="19"/>
      <c r="M34" s="73" t="e">
        <f t="array" ref="M34">-INDEX(Assumptions!$F$51:$N$51,,MATCH(M$13,Assumptions!$F$20:$N$20,0))*M14</f>
        <v>#N/A</v>
      </c>
      <c r="N34" s="73" t="e">
        <f t="array" ref="N34">-INDEX(Assumptions!$F$51:$N$51,,MATCH(N$13,Assumptions!$F$20:$N$20,0))*N14</f>
        <v>#N/A</v>
      </c>
      <c r="O34" s="73" t="e">
        <f t="array" ref="O34">-INDEX(Assumptions!$F$51:$N$51,,MATCH(O$13,Assumptions!$F$20:$N$20,0))*O14</f>
        <v>#N/A</v>
      </c>
      <c r="P34" s="73" t="e">
        <f t="array" ref="P34">-INDEX(Assumptions!$F$51:$N$51,,MATCH(P$13,Assumptions!$F$20:$N$20,0))*P14</f>
        <v>#N/A</v>
      </c>
      <c r="R34" s="19" t="s">
        <v>152</v>
      </c>
    </row>
    <row r="35" spans="4:25" x14ac:dyDescent="0.3">
      <c r="D35" s="18" t="s">
        <v>155</v>
      </c>
      <c r="E35" s="19"/>
      <c r="F35" s="19"/>
      <c r="G35" s="19"/>
      <c r="H35" s="19"/>
      <c r="I35" s="19"/>
      <c r="J35" s="19"/>
      <c r="K35" s="19"/>
      <c r="L35" s="19"/>
      <c r="M35" s="73" t="e">
        <f t="array" ref="M35">-INDEX(Assumptions!$F$52:$N$52,,MATCH(M$13,Assumptions!$F$20:$N$20,0))*M14</f>
        <v>#N/A</v>
      </c>
      <c r="N35" s="73" t="e">
        <f t="array" ref="N35">-INDEX(Assumptions!$F$52:$N$52,,MATCH(N$13,Assumptions!$F$20:$N$20,0))*N14</f>
        <v>#N/A</v>
      </c>
      <c r="O35" s="73" t="e">
        <f t="array" ref="O35">-INDEX(Assumptions!$F$52:$N$52,,MATCH(O$13,Assumptions!$F$20:$N$20,0))*O14</f>
        <v>#N/A</v>
      </c>
      <c r="P35" s="73" t="e">
        <f t="array" ref="P35">-INDEX(Assumptions!$F$52:$N$52,,MATCH(P$13,Assumptions!$F$20:$N$20,0))*P14</f>
        <v>#N/A</v>
      </c>
      <c r="R35" s="19" t="s">
        <v>152</v>
      </c>
    </row>
    <row r="36" spans="4:25" x14ac:dyDescent="0.3">
      <c r="D36" s="18" t="s">
        <v>156</v>
      </c>
      <c r="E36" s="19"/>
      <c r="F36" s="19"/>
      <c r="G36" s="19"/>
      <c r="H36" s="19"/>
      <c r="I36" s="19"/>
      <c r="J36" s="19"/>
      <c r="K36" s="19"/>
      <c r="L36" s="19"/>
      <c r="M36" s="73">
        <f>-Assumptions!$F$77*(M14*M18)</f>
        <v>-1800</v>
      </c>
      <c r="N36" s="73">
        <f>-Assumptions!$F$77*(N14*N18)</f>
        <v>-5508</v>
      </c>
      <c r="O36" s="73">
        <f>-Assumptions!$F$77*(O14*O18)</f>
        <v>-9363.6</v>
      </c>
      <c r="P36" s="78">
        <f>-Assumptions!$F$77*(P14*P18)</f>
        <v>-13371.220799999999</v>
      </c>
      <c r="R36" s="14" t="s">
        <v>157</v>
      </c>
    </row>
    <row r="37" spans="4:25" x14ac:dyDescent="0.3">
      <c r="D37" s="18" t="s">
        <v>158</v>
      </c>
      <c r="E37" s="19"/>
      <c r="F37" s="19"/>
      <c r="G37" s="19"/>
      <c r="H37" s="19"/>
      <c r="I37" s="19"/>
      <c r="J37" s="19"/>
      <c r="K37" s="19"/>
      <c r="L37" s="19"/>
      <c r="M37" s="78">
        <f>-(SUMPRODUCT(Assumptions!$F$58:$F$60,Assumptions!$F$68:$F$70)/SUM(Assumptions!$F$68:$F$70)*M11+
SUMPRODUCT(Assumptions!$F$62:$F$64,Assumptions!$F$68:$F$70)/SUM(Assumptions!$F$68:$F$70)*M14)</f>
        <v>-837.42179999999985</v>
      </c>
      <c r="N37" s="73">
        <f>-(SUMPRODUCT(Assumptions!$F$58:$F$60,Assumptions!$F$68:$F$70)/SUM(Assumptions!$F$68:$F$70)*N11+
SUMPRODUCT(Assumptions!$F$62:$F$64,Assumptions!$F$68:$F$70)/SUM(Assumptions!$F$68:$F$70)*N14)</f>
        <v>-2556.0434159999995</v>
      </c>
      <c r="O37" s="73">
        <f>-(SUMPRODUCT(Assumptions!$F$58:$F$60,Assumptions!$F$68:$F$70)/SUM(Assumptions!$F$68:$F$70)*O11+
SUMPRODUCT(Assumptions!$F$62:$F$64,Assumptions!$F$68:$F$70)/SUM(Assumptions!$F$68:$F$70)*O14)</f>
        <v>-4334.6298108000001</v>
      </c>
      <c r="P37" s="78">
        <f>-(SUMPRODUCT(Assumptions!$F$58:$F$60,Assumptions!$F$68:$F$70)/SUM(Assumptions!$F$68:$F$70)*P11+
SUMPRODUCT(Assumptions!$F$62:$F$64,Assumptions!$F$68:$F$70)/SUM(Assumptions!$F$68:$F$70)*P14)</f>
        <v>-6175.1423029631987</v>
      </c>
      <c r="R37" s="14" t="s">
        <v>159</v>
      </c>
    </row>
    <row r="39" spans="4:25" x14ac:dyDescent="0.3">
      <c r="D39" s="17" t="s">
        <v>160</v>
      </c>
      <c r="M39" s="35">
        <f>SUM(M40:M42)</f>
        <v>-36504</v>
      </c>
      <c r="N39" s="35">
        <f>SUM(N40:N42)</f>
        <v>-132954</v>
      </c>
      <c r="O39" s="35">
        <f>SUM(O40:O42)</f>
        <v>-132954</v>
      </c>
      <c r="P39" s="35">
        <f>SUM(P40:P42)</f>
        <v>0</v>
      </c>
      <c r="Y39">
        <f>60*1.15</f>
        <v>69</v>
      </c>
    </row>
    <row r="40" spans="4:25" x14ac:dyDescent="0.3">
      <c r="D40" s="18" t="s">
        <v>161</v>
      </c>
      <c r="E40" s="12" t="s">
        <v>162</v>
      </c>
      <c r="M40" s="59">
        <f>-Salaries!D3</f>
        <v>-36504</v>
      </c>
      <c r="N40" s="59">
        <f>-Salaries!E3</f>
        <v>-36504</v>
      </c>
      <c r="O40" s="59">
        <f>-Salaries!F3</f>
        <v>-36504</v>
      </c>
      <c r="P40" s="59">
        <f>-Salaries!G3</f>
        <v>0</v>
      </c>
      <c r="R40" s="79" t="s">
        <v>163</v>
      </c>
    </row>
    <row r="41" spans="4:25" x14ac:dyDescent="0.3">
      <c r="D41" s="18" t="s">
        <v>164</v>
      </c>
      <c r="E41" s="12" t="s">
        <v>162</v>
      </c>
      <c r="M41" s="59"/>
      <c r="N41" s="59">
        <f>-Salaries!E10</f>
        <v>-60450</v>
      </c>
      <c r="O41" s="59">
        <f>-Salaries!F10</f>
        <v>-60450</v>
      </c>
      <c r="P41" s="59">
        <f>-Salaries!G10</f>
        <v>0</v>
      </c>
    </row>
    <row r="42" spans="4:25" x14ac:dyDescent="0.3">
      <c r="D42" s="18" t="s">
        <v>165</v>
      </c>
      <c r="E42" s="12" t="s">
        <v>162</v>
      </c>
      <c r="M42" s="59"/>
      <c r="N42" s="59">
        <f>-Salaries!E17</f>
        <v>-36000</v>
      </c>
      <c r="O42" s="59">
        <f>-Salaries!F17</f>
        <v>-36000</v>
      </c>
      <c r="P42" s="59">
        <f>-Salaries!G17</f>
        <v>0</v>
      </c>
    </row>
    <row r="44" spans="4:25" x14ac:dyDescent="0.3">
      <c r="D44" s="17" t="s">
        <v>166</v>
      </c>
      <c r="M44" s="74">
        <f>-M45*M27</f>
        <v>-5891.76</v>
      </c>
      <c r="N44" s="74">
        <f>-N45*N27</f>
        <v>-18064.771199999999</v>
      </c>
      <c r="O44" s="74">
        <f>-O45*O27</f>
        <v>-21539.900592000002</v>
      </c>
      <c r="P44" s="74">
        <f>P45*P27</f>
        <v>22014.377925120003</v>
      </c>
    </row>
    <row r="45" spans="4:25" x14ac:dyDescent="0.3">
      <c r="D45" s="17" t="s">
        <v>167</v>
      </c>
      <c r="M45" s="75">
        <v>0.1</v>
      </c>
      <c r="N45" s="75">
        <v>0.1</v>
      </c>
      <c r="O45" s="75">
        <v>7.0000000000000007E-2</v>
      </c>
      <c r="P45" s="75">
        <v>0.05</v>
      </c>
      <c r="R45" s="14" t="s">
        <v>168</v>
      </c>
    </row>
    <row r="46" spans="4:25" x14ac:dyDescent="0.3">
      <c r="D46" s="18" t="s">
        <v>169</v>
      </c>
      <c r="E46" s="66">
        <v>0.2</v>
      </c>
      <c r="F46" s="66"/>
      <c r="G46" s="66"/>
      <c r="H46" s="66"/>
      <c r="I46" s="66"/>
      <c r="J46" s="66"/>
      <c r="K46" s="66"/>
      <c r="L46" s="66"/>
      <c r="M46" s="56">
        <f t="shared" ref="M46:P47" si="0">M$44*$E46</f>
        <v>-1178.3520000000001</v>
      </c>
      <c r="N46" s="56">
        <f t="shared" si="0"/>
        <v>-3612.95424</v>
      </c>
      <c r="O46" s="56">
        <f t="shared" si="0"/>
        <v>-4307.9801184000007</v>
      </c>
      <c r="P46" s="56">
        <f t="shared" si="0"/>
        <v>4402.8755850240004</v>
      </c>
      <c r="R46" s="38"/>
    </row>
    <row r="47" spans="4:25" x14ac:dyDescent="0.3">
      <c r="D47" s="18" t="s">
        <v>170</v>
      </c>
      <c r="E47" s="66">
        <v>0.8</v>
      </c>
      <c r="F47" s="66"/>
      <c r="G47" s="66"/>
      <c r="H47" s="66"/>
      <c r="I47" s="66"/>
      <c r="J47" s="66"/>
      <c r="K47" s="66"/>
      <c r="L47" s="66"/>
      <c r="M47" s="56">
        <f t="shared" si="0"/>
        <v>-4713.4080000000004</v>
      </c>
      <c r="N47" s="56">
        <f t="shared" si="0"/>
        <v>-14451.81696</v>
      </c>
      <c r="O47" s="56">
        <f t="shared" si="0"/>
        <v>-17231.920473600003</v>
      </c>
      <c r="P47" s="56">
        <f t="shared" si="0"/>
        <v>17611.502340096002</v>
      </c>
      <c r="R47" s="38"/>
    </row>
    <row r="48" spans="4:25" x14ac:dyDescent="0.3">
      <c r="D48" s="17"/>
    </row>
    <row r="49" spans="4:18" x14ac:dyDescent="0.3">
      <c r="D49" s="17" t="s">
        <v>171</v>
      </c>
      <c r="M49" s="35">
        <f>M51</f>
        <v>-8000</v>
      </c>
      <c r="N49" s="35">
        <f>N51</f>
        <v>-8000</v>
      </c>
      <c r="O49" s="35">
        <f>O51</f>
        <v>-8000</v>
      </c>
      <c r="P49" s="35">
        <f>P51</f>
        <v>-8000</v>
      </c>
    </row>
    <row r="50" spans="4:18" x14ac:dyDescent="0.3">
      <c r="D50" s="18" t="s">
        <v>172</v>
      </c>
      <c r="M50" s="69">
        <v>16</v>
      </c>
      <c r="N50" s="69">
        <v>16</v>
      </c>
      <c r="O50" s="69">
        <v>16</v>
      </c>
      <c r="P50" s="69">
        <v>16</v>
      </c>
    </row>
    <row r="51" spans="4:18" x14ac:dyDescent="0.3">
      <c r="D51" s="18" t="s">
        <v>173</v>
      </c>
      <c r="M51" s="56">
        <f>-M50*Assumptions!$F$76</f>
        <v>-8000</v>
      </c>
      <c r="N51" s="49">
        <f>-N50*Assumptions!$F$76</f>
        <v>-8000</v>
      </c>
      <c r="O51" s="49">
        <f>-O50*Assumptions!$F$76</f>
        <v>-8000</v>
      </c>
      <c r="P51" s="49">
        <f>-P50*Assumptions!$F$76</f>
        <v>-8000</v>
      </c>
      <c r="R51" s="38"/>
    </row>
    <row r="52" spans="4:18" x14ac:dyDescent="0.3">
      <c r="D52" s="17"/>
    </row>
    <row r="53" spans="4:18" x14ac:dyDescent="0.3">
      <c r="D53" s="17" t="s">
        <v>174</v>
      </c>
      <c r="M53" s="35">
        <f>M54</f>
        <v>-500</v>
      </c>
      <c r="N53" s="35">
        <f>N54</f>
        <v>-500</v>
      </c>
      <c r="O53" s="35">
        <f>O54</f>
        <v>-500</v>
      </c>
      <c r="P53" s="35">
        <f>P54</f>
        <v>-500</v>
      </c>
    </row>
    <row r="54" spans="4:18" x14ac:dyDescent="0.3">
      <c r="D54" s="18" t="s">
        <v>175</v>
      </c>
      <c r="M54" s="36">
        <v>-500</v>
      </c>
      <c r="N54" s="37">
        <f>M54</f>
        <v>-500</v>
      </c>
      <c r="O54" s="37">
        <f>N54</f>
        <v>-500</v>
      </c>
      <c r="P54" s="37">
        <f>O54</f>
        <v>-500</v>
      </c>
    </row>
    <row r="55" spans="4:18" x14ac:dyDescent="0.3">
      <c r="D55" s="18" t="s">
        <v>176</v>
      </c>
      <c r="M55" s="36">
        <v>-1100</v>
      </c>
      <c r="N55" s="36"/>
      <c r="O55" s="36"/>
      <c r="P55" s="36"/>
      <c r="R55" s="19" t="s">
        <v>177</v>
      </c>
    </row>
    <row r="56" spans="4:18" x14ac:dyDescent="0.3">
      <c r="D56" s="18"/>
    </row>
    <row r="57" spans="4:18" x14ac:dyDescent="0.3">
      <c r="D57" s="17" t="s">
        <v>178</v>
      </c>
      <c r="M57" s="35">
        <f>SUM(M58:M60)</f>
        <v>-2350</v>
      </c>
      <c r="N57" s="35">
        <f>SUM(N58:N60)</f>
        <v>-1800</v>
      </c>
      <c r="O57" s="35">
        <f>SUM(O58:O60)</f>
        <v>-1800</v>
      </c>
      <c r="P57" s="35">
        <f>SUM(P58:P60)</f>
        <v>-1800</v>
      </c>
    </row>
    <row r="58" spans="4:18" x14ac:dyDescent="0.3">
      <c r="D58" s="18" t="s">
        <v>179</v>
      </c>
      <c r="M58" s="36">
        <v>-300</v>
      </c>
      <c r="R58" s="14" t="s">
        <v>180</v>
      </c>
    </row>
    <row r="59" spans="4:18" x14ac:dyDescent="0.3">
      <c r="D59" s="18" t="s">
        <v>181</v>
      </c>
      <c r="M59" s="36">
        <v>-250</v>
      </c>
      <c r="R59" s="14" t="s">
        <v>180</v>
      </c>
    </row>
    <row r="60" spans="4:18" x14ac:dyDescent="0.3">
      <c r="D60" s="18" t="s">
        <v>182</v>
      </c>
      <c r="M60" s="36">
        <v>-1800</v>
      </c>
      <c r="N60" s="76">
        <f>M60</f>
        <v>-1800</v>
      </c>
      <c r="O60" s="76">
        <f>N60</f>
        <v>-1800</v>
      </c>
      <c r="P60" s="76">
        <f>O60</f>
        <v>-1800</v>
      </c>
      <c r="R60" s="14" t="s">
        <v>180</v>
      </c>
    </row>
    <row r="61" spans="4:18" x14ac:dyDescent="0.3">
      <c r="D61" s="18"/>
      <c r="M61" s="36"/>
      <c r="N61" s="76"/>
      <c r="O61" s="76"/>
      <c r="P61" s="76"/>
      <c r="R61" s="38"/>
    </row>
    <row r="62" spans="4:18" x14ac:dyDescent="0.3">
      <c r="D62" s="23" t="s">
        <v>183</v>
      </c>
      <c r="M62" s="74">
        <f>M64</f>
        <v>-333.33333333333331</v>
      </c>
      <c r="N62" s="74">
        <f>N64</f>
        <v>-333.33333333333331</v>
      </c>
      <c r="O62" s="74">
        <f>O64</f>
        <v>-333.33333333333331</v>
      </c>
      <c r="P62" s="74">
        <f>P64</f>
        <v>0</v>
      </c>
      <c r="R62" s="38"/>
    </row>
    <row r="63" spans="4:18" x14ac:dyDescent="0.3">
      <c r="D63" s="18" t="s">
        <v>184</v>
      </c>
      <c r="E63" s="79">
        <v>3</v>
      </c>
      <c r="F63" s="79"/>
      <c r="G63" s="79"/>
      <c r="H63" s="79"/>
      <c r="I63" s="79"/>
      <c r="J63" s="79"/>
      <c r="K63" s="79"/>
      <c r="L63" s="79"/>
      <c r="M63" s="36"/>
      <c r="N63" s="76"/>
      <c r="O63" s="76"/>
      <c r="P63" s="76"/>
      <c r="R63" s="38" t="s">
        <v>185</v>
      </c>
    </row>
    <row r="64" spans="4:18" x14ac:dyDescent="0.3">
      <c r="D64" s="18"/>
      <c r="M64" s="36">
        <f>M76/3</f>
        <v>-333.33333333333331</v>
      </c>
      <c r="N64" s="76">
        <f>M64+N76/3</f>
        <v>-333.33333333333331</v>
      </c>
      <c r="O64" s="76">
        <f>N64+O76/3</f>
        <v>-333.33333333333331</v>
      </c>
      <c r="P64" s="76">
        <f>N76/3+O76/3+P76/3</f>
        <v>0</v>
      </c>
      <c r="R64" s="38"/>
    </row>
    <row r="65" spans="2:18" x14ac:dyDescent="0.3">
      <c r="D65" s="18"/>
      <c r="M65" s="36"/>
      <c r="N65" s="76"/>
      <c r="O65" s="76"/>
      <c r="P65" s="76"/>
      <c r="R65" s="38"/>
    </row>
    <row r="66" spans="2:18" x14ac:dyDescent="0.3">
      <c r="D66" s="17" t="s">
        <v>186</v>
      </c>
      <c r="M66" s="35" t="e">
        <f>M57+M39+M53+M49+M44+M31+M62</f>
        <v>#N/A</v>
      </c>
      <c r="N66" s="35" t="e">
        <f>N57+N39+N53+N49+N44+N31+N62</f>
        <v>#N/A</v>
      </c>
      <c r="O66" s="35" t="e">
        <f>O57+O39+O53+O49+O44+O31+O62</f>
        <v>#N/A</v>
      </c>
      <c r="P66" s="35" t="e">
        <f>P57+P39+P53+P49+P44+P31+P62</f>
        <v>#N/A</v>
      </c>
    </row>
    <row r="67" spans="2:18" x14ac:dyDescent="0.3">
      <c r="D67" s="17"/>
      <c r="M67" s="35"/>
      <c r="N67" s="35"/>
      <c r="O67" s="35"/>
      <c r="P67" s="35"/>
    </row>
    <row r="68" spans="2:18" x14ac:dyDescent="0.3">
      <c r="D68" s="12" t="s">
        <v>187</v>
      </c>
      <c r="M68" s="4">
        <v>0.05</v>
      </c>
      <c r="N68" s="4">
        <f>M68</f>
        <v>0.05</v>
      </c>
      <c r="O68" s="4">
        <f>N68</f>
        <v>0.05</v>
      </c>
      <c r="P68" s="4">
        <f>O68</f>
        <v>0.05</v>
      </c>
    </row>
    <row r="69" spans="2:18" x14ac:dyDescent="0.3">
      <c r="D69" s="17" t="s">
        <v>188</v>
      </c>
      <c r="M69" s="49" t="e">
        <f>M66*M68</f>
        <v>#N/A</v>
      </c>
      <c r="N69" s="49" t="e">
        <f>N66*N68</f>
        <v>#N/A</v>
      </c>
      <c r="O69" s="49" t="e">
        <f>O66*O68</f>
        <v>#N/A</v>
      </c>
      <c r="P69" s="49" t="e">
        <f>P66*P68</f>
        <v>#N/A</v>
      </c>
    </row>
    <row r="70" spans="2:18" x14ac:dyDescent="0.3">
      <c r="D70" s="18"/>
      <c r="M70" s="36"/>
      <c r="N70" s="76"/>
      <c r="O70" s="76"/>
      <c r="P70" s="76"/>
      <c r="R70" s="38"/>
    </row>
    <row r="71" spans="2:18" x14ac:dyDescent="0.3">
      <c r="D71" s="23" t="s">
        <v>189</v>
      </c>
      <c r="M71" s="74" t="e">
        <f>M66+M69</f>
        <v>#N/A</v>
      </c>
      <c r="N71" s="74" t="e">
        <f>N66+N69</f>
        <v>#N/A</v>
      </c>
      <c r="O71" s="74" t="e">
        <f>O66+O69</f>
        <v>#N/A</v>
      </c>
      <c r="P71" s="74" t="e">
        <f>P66+P69</f>
        <v>#N/A</v>
      </c>
      <c r="R71" s="38"/>
    </row>
    <row r="72" spans="2:18" x14ac:dyDescent="0.3">
      <c r="D72" s="18"/>
      <c r="M72" s="36"/>
      <c r="N72" s="36"/>
      <c r="O72" s="36"/>
      <c r="P72" s="76"/>
      <c r="R72" s="38"/>
    </row>
    <row r="73" spans="2:18" x14ac:dyDescent="0.3">
      <c r="R73" s="12"/>
    </row>
    <row r="74" spans="2:18" x14ac:dyDescent="0.3">
      <c r="B74" s="15">
        <v>3</v>
      </c>
      <c r="D74" s="16" t="s">
        <v>190</v>
      </c>
      <c r="M74" s="35">
        <f>M76</f>
        <v>-1000</v>
      </c>
      <c r="N74" s="35">
        <f>N76</f>
        <v>0</v>
      </c>
      <c r="O74" s="35">
        <f>O76</f>
        <v>0</v>
      </c>
      <c r="P74" s="35">
        <f>P76</f>
        <v>0</v>
      </c>
      <c r="Q74" s="35"/>
    </row>
    <row r="75" spans="2:18" x14ac:dyDescent="0.3">
      <c r="D75" s="17"/>
      <c r="M75" s="36"/>
      <c r="N75" s="36"/>
      <c r="O75" s="36"/>
    </row>
    <row r="76" spans="2:18" x14ac:dyDescent="0.3">
      <c r="D76" s="18" t="s">
        <v>191</v>
      </c>
      <c r="M76" s="36">
        <v>-1000</v>
      </c>
      <c r="N76" s="36"/>
      <c r="O76" s="37"/>
      <c r="P76" s="37"/>
      <c r="R76" s="38"/>
    </row>
    <row r="77" spans="2:18" x14ac:dyDescent="0.3">
      <c r="D77" s="17"/>
      <c r="M77" s="36"/>
      <c r="N77" s="36"/>
      <c r="O77" s="36"/>
    </row>
    <row r="78" spans="2:18" x14ac:dyDescent="0.3">
      <c r="D78" s="17" t="s">
        <v>192</v>
      </c>
      <c r="M78" s="35" t="e">
        <f>M66+M69</f>
        <v>#N/A</v>
      </c>
      <c r="N78" s="35" t="e">
        <f>N66+N69</f>
        <v>#N/A</v>
      </c>
      <c r="O78" s="35" t="e">
        <f>O66+O69</f>
        <v>#N/A</v>
      </c>
      <c r="P78" s="35" t="e">
        <f>P66+P69</f>
        <v>#N/A</v>
      </c>
    </row>
    <row r="79" spans="2:18" x14ac:dyDescent="0.3">
      <c r="M79" s="37"/>
      <c r="N79" s="37"/>
      <c r="O79" s="37"/>
    </row>
    <row r="81" spans="2:18" x14ac:dyDescent="0.3">
      <c r="B81" s="15">
        <v>4</v>
      </c>
      <c r="D81" s="16" t="s">
        <v>193</v>
      </c>
    </row>
    <row r="83" spans="2:18" x14ac:dyDescent="0.3">
      <c r="D83" s="17" t="s">
        <v>194</v>
      </c>
      <c r="E83" s="17"/>
      <c r="F83" s="17"/>
      <c r="G83" s="17"/>
      <c r="H83" s="17"/>
      <c r="I83" s="17"/>
      <c r="J83" s="17"/>
      <c r="K83" s="17"/>
      <c r="L83" s="17"/>
      <c r="M83" s="35" t="e">
        <f>M11+M31</f>
        <v>#N/A</v>
      </c>
      <c r="N83" s="35" t="e">
        <f>N11+N31</f>
        <v>#N/A</v>
      </c>
      <c r="O83" s="35" t="e">
        <f>O11+O31</f>
        <v>#N/A</v>
      </c>
      <c r="P83" s="35" t="e">
        <f>P11+P31</f>
        <v>#N/A</v>
      </c>
    </row>
    <row r="84" spans="2:18" x14ac:dyDescent="0.3">
      <c r="D84" s="12" t="s">
        <v>195</v>
      </c>
      <c r="M84" s="34" t="e">
        <f>M83/M11</f>
        <v>#N/A</v>
      </c>
      <c r="N84" s="34" t="e">
        <f>N83/N11</f>
        <v>#N/A</v>
      </c>
      <c r="O84" s="34" t="e">
        <f>O83/O11</f>
        <v>#N/A</v>
      </c>
      <c r="P84" s="34" t="e">
        <f>P83/P11</f>
        <v>#N/A</v>
      </c>
    </row>
    <row r="85" spans="2:18" x14ac:dyDescent="0.3">
      <c r="D85" s="17" t="s">
        <v>196</v>
      </c>
      <c r="E85" s="17"/>
      <c r="F85" s="17"/>
      <c r="G85" s="17"/>
      <c r="H85" s="17"/>
      <c r="I85" s="17"/>
      <c r="J85" s="17"/>
      <c r="K85" s="17"/>
      <c r="L85" s="17"/>
      <c r="M85" s="35" t="e">
        <f>M11+M71</f>
        <v>#N/A</v>
      </c>
      <c r="N85" s="35" t="e">
        <f>N11+N71</f>
        <v>#N/A</v>
      </c>
      <c r="O85" s="98" t="e">
        <f>O11+O71</f>
        <v>#N/A</v>
      </c>
      <c r="P85" s="35" t="e">
        <f>P11+P71</f>
        <v>#N/A</v>
      </c>
    </row>
    <row r="86" spans="2:18" x14ac:dyDescent="0.3">
      <c r="D86" s="12" t="s">
        <v>197</v>
      </c>
      <c r="M86" s="34" t="e">
        <f>M85/M11</f>
        <v>#N/A</v>
      </c>
      <c r="N86" s="34" t="e">
        <f>N85/N11</f>
        <v>#N/A</v>
      </c>
      <c r="O86" s="34" t="e">
        <f>O85/O11</f>
        <v>#N/A</v>
      </c>
      <c r="P86" s="34" t="e">
        <f>P85/P11</f>
        <v>#N/A</v>
      </c>
    </row>
    <row r="88" spans="2:18" x14ac:dyDescent="0.3">
      <c r="B88" s="15">
        <v>5</v>
      </c>
      <c r="D88" s="16" t="s">
        <v>198</v>
      </c>
    </row>
    <row r="89" spans="2:18" x14ac:dyDescent="0.3">
      <c r="R89" s="14" t="s">
        <v>199</v>
      </c>
    </row>
    <row r="90" spans="2:18" x14ac:dyDescent="0.3">
      <c r="D90" s="12" t="s">
        <v>200</v>
      </c>
      <c r="M90" s="37" t="e">
        <f>IF(M85&gt;0,M85*$R$90,500)</f>
        <v>#N/A</v>
      </c>
      <c r="N90" s="37" t="e">
        <f>IF(N85&gt;0,N85*$R$90,500)</f>
        <v>#N/A</v>
      </c>
      <c r="O90" s="37" t="e">
        <f>IF(O85&gt;0,O85*$R$90,500)</f>
        <v>#N/A</v>
      </c>
      <c r="P90" s="37" t="e">
        <f>IF(P85&gt;0,P85*$R$90,500)</f>
        <v>#N/A</v>
      </c>
      <c r="R90" s="67">
        <v>0.23</v>
      </c>
    </row>
    <row r="91" spans="2:18" x14ac:dyDescent="0.3">
      <c r="D91" s="12" t="s">
        <v>201</v>
      </c>
      <c r="M91" s="37" t="e">
        <f>M85-M90</f>
        <v>#N/A</v>
      </c>
      <c r="N91" s="37" t="e">
        <f>N85-N90</f>
        <v>#N/A</v>
      </c>
      <c r="O91" s="85" t="e">
        <f>O85-O90</f>
        <v>#N/A</v>
      </c>
      <c r="P91" s="84" t="e">
        <f>P85-P90</f>
        <v>#N/A</v>
      </c>
      <c r="R91" s="67"/>
    </row>
    <row r="92" spans="2:18" x14ac:dyDescent="0.3">
      <c r="D92" s="12" t="s">
        <v>202</v>
      </c>
      <c r="M92" s="37" t="e">
        <f>IF(M91&gt;0,M91*$R$92,0)</f>
        <v>#N/A</v>
      </c>
      <c r="N92" s="37" t="e">
        <f>IF(N91&gt;0,N91*$R$92,0)</f>
        <v>#N/A</v>
      </c>
      <c r="O92" s="37" t="e">
        <f>IF(O91&gt;0,O91*$R$92,0)</f>
        <v>#N/A</v>
      </c>
      <c r="P92" s="37" t="e">
        <f>IF(P91&gt;0,P91*$R$92,0)</f>
        <v>#N/A</v>
      </c>
      <c r="R92" s="68">
        <v>0.27500000000000002</v>
      </c>
    </row>
    <row r="94" spans="2:18" x14ac:dyDescent="0.3">
      <c r="B94" s="15">
        <v>6</v>
      </c>
      <c r="D94" s="16" t="s">
        <v>203</v>
      </c>
      <c r="M94" s="35" t="e">
        <f>M91-M92</f>
        <v>#N/A</v>
      </c>
      <c r="N94" s="35" t="e">
        <f>N91-N92</f>
        <v>#N/A</v>
      </c>
      <c r="O94" s="35" t="e">
        <f>O91-O92</f>
        <v>#N/A</v>
      </c>
      <c r="P94" s="35" t="e">
        <f>P91-P92</f>
        <v>#N/A</v>
      </c>
    </row>
    <row r="96" spans="2:18" x14ac:dyDescent="0.3">
      <c r="B96" s="15">
        <v>7</v>
      </c>
      <c r="D96" s="16" t="s">
        <v>204</v>
      </c>
      <c r="M96" s="35"/>
      <c r="N96" s="35"/>
      <c r="O96" s="35"/>
      <c r="P96" s="35"/>
    </row>
    <row r="98" spans="4:16" x14ac:dyDescent="0.3">
      <c r="D98" s="12" t="s">
        <v>205</v>
      </c>
      <c r="M98" s="37" t="e">
        <f>M85-M64+M76</f>
        <v>#N/A</v>
      </c>
      <c r="N98" s="37" t="e">
        <f>N85-N64+N76</f>
        <v>#N/A</v>
      </c>
      <c r="O98" s="37" t="e">
        <f>O85-O64+O76</f>
        <v>#N/A</v>
      </c>
      <c r="P98" s="37" t="e">
        <f>P85-P64+P76</f>
        <v>#N/A</v>
      </c>
    </row>
    <row r="99" spans="4:16" x14ac:dyDescent="0.3">
      <c r="D99" s="12" t="s">
        <v>206</v>
      </c>
      <c r="M99" s="34">
        <v>0.08</v>
      </c>
      <c r="N99" s="34"/>
      <c r="O99" s="34"/>
      <c r="P99" s="34"/>
    </row>
    <row r="100" spans="4:16" x14ac:dyDescent="0.3">
      <c r="D100" s="12" t="s">
        <v>207</v>
      </c>
      <c r="M100" s="102" t="e">
        <f>NPV(M99,N98:P98)+M98</f>
        <v>#N/A</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T109"/>
  <sheetViews>
    <sheetView zoomScale="60" zoomScaleNormal="60" workbookViewId="0">
      <selection activeCell="P108" sqref="P108"/>
    </sheetView>
  </sheetViews>
  <sheetFormatPr defaultRowHeight="14.4" x14ac:dyDescent="0.3"/>
  <cols>
    <col min="1" max="1" width="8.6640625" style="12" customWidth="1"/>
    <col min="2" max="2" width="4.33203125" style="12" customWidth="1"/>
    <col min="3" max="3" width="1.6640625" style="12" customWidth="1"/>
    <col min="4" max="4" width="36.109375" style="12" customWidth="1"/>
    <col min="5" max="6" width="8.6640625" style="12" customWidth="1"/>
    <col min="7" max="7" width="8.88671875" style="12" customWidth="1"/>
    <col min="8" max="8" width="12" style="12" customWidth="1"/>
    <col min="9" max="15" width="12.5546875" style="12" customWidth="1"/>
    <col min="16" max="18" width="12.5546875" customWidth="1"/>
    <col min="20" max="20" width="35.21875" customWidth="1"/>
  </cols>
  <sheetData>
    <row r="2" spans="1:20" x14ac:dyDescent="0.3">
      <c r="A2" s="39"/>
      <c r="B2" s="44"/>
      <c r="C2" s="41"/>
      <c r="D2" s="40" t="s">
        <v>129</v>
      </c>
      <c r="E2" s="42"/>
      <c r="F2" s="42"/>
      <c r="G2" s="42"/>
      <c r="H2" s="42"/>
      <c r="I2" s="42"/>
      <c r="J2" s="42"/>
      <c r="K2" s="42"/>
      <c r="L2" s="42"/>
      <c r="M2" s="42"/>
      <c r="N2" s="42"/>
      <c r="O2" s="42"/>
      <c r="P2" s="42"/>
      <c r="Q2" s="42"/>
      <c r="R2" s="42"/>
      <c r="S2" s="42"/>
      <c r="T2" s="42"/>
    </row>
    <row r="3" spans="1:20" x14ac:dyDescent="0.3">
      <c r="A3" s="39"/>
      <c r="B3" s="44"/>
      <c r="C3" s="41"/>
      <c r="D3" s="72" t="s">
        <v>130</v>
      </c>
      <c r="E3" s="42"/>
      <c r="F3" s="42"/>
      <c r="G3" s="42"/>
      <c r="H3" s="42"/>
      <c r="I3" s="42"/>
      <c r="J3" s="42"/>
      <c r="K3" s="42"/>
      <c r="L3" s="42"/>
      <c r="M3" s="42"/>
      <c r="N3" s="42"/>
      <c r="O3" s="42"/>
      <c r="P3" s="42"/>
      <c r="Q3" s="42"/>
      <c r="R3" s="42"/>
      <c r="S3" s="42"/>
      <c r="T3" s="42"/>
    </row>
    <row r="4" spans="1:20" ht="15.6" customHeight="1" x14ac:dyDescent="0.3">
      <c r="A4" s="39"/>
      <c r="B4" s="44"/>
      <c r="C4" s="41"/>
      <c r="D4" s="47" t="s">
        <v>131</v>
      </c>
      <c r="E4" s="42"/>
      <c r="F4" s="42"/>
      <c r="G4" s="42"/>
      <c r="H4" s="42"/>
      <c r="I4" s="42"/>
      <c r="J4" s="42"/>
      <c r="K4" s="42"/>
      <c r="L4" s="42"/>
      <c r="M4" s="42"/>
      <c r="N4" s="42"/>
      <c r="O4" s="42"/>
      <c r="P4" s="42"/>
      <c r="Q4" s="42"/>
      <c r="R4" s="42"/>
      <c r="S4" s="42"/>
      <c r="T4" s="42"/>
    </row>
    <row r="5" spans="1:20" ht="15.6" customHeight="1" x14ac:dyDescent="0.3">
      <c r="A5" s="39"/>
      <c r="B5" s="44"/>
      <c r="C5" s="41"/>
      <c r="D5" s="48" t="s">
        <v>132</v>
      </c>
      <c r="E5" s="42"/>
      <c r="F5" s="42"/>
      <c r="G5" s="42"/>
      <c r="H5" s="42"/>
      <c r="I5" s="42"/>
      <c r="J5" s="42"/>
      <c r="K5" s="42"/>
      <c r="L5" s="42"/>
      <c r="M5" s="42"/>
      <c r="N5" s="42"/>
      <c r="O5" s="42"/>
      <c r="P5" s="42"/>
      <c r="Q5" s="42"/>
      <c r="R5" s="42"/>
      <c r="S5" s="42"/>
      <c r="T5" s="42"/>
    </row>
    <row r="6" spans="1:20" x14ac:dyDescent="0.3">
      <c r="D6" s="17" t="s">
        <v>208</v>
      </c>
      <c r="F6" s="110" t="s">
        <v>209</v>
      </c>
      <c r="G6" s="110"/>
      <c r="H6" s="110"/>
    </row>
    <row r="7" spans="1:20" x14ac:dyDescent="0.3">
      <c r="D7" s="111" t="s">
        <v>210</v>
      </c>
      <c r="F7" s="114">
        <f>IF($F$6="Elanders",2,1)</f>
        <v>1</v>
      </c>
      <c r="G7" s="114"/>
      <c r="H7" s="114"/>
    </row>
    <row r="8" spans="1:20" x14ac:dyDescent="0.3">
      <c r="G8" s="12">
        <v>2026</v>
      </c>
      <c r="H8" s="12">
        <v>2026</v>
      </c>
      <c r="I8" s="55">
        <v>2026</v>
      </c>
      <c r="J8" s="55">
        <v>2026</v>
      </c>
      <c r="K8" s="12">
        <v>2027</v>
      </c>
      <c r="L8" s="12">
        <v>2027</v>
      </c>
      <c r="M8" s="12">
        <v>2027</v>
      </c>
      <c r="N8" s="12">
        <v>2027</v>
      </c>
      <c r="O8" s="12">
        <v>2028</v>
      </c>
      <c r="P8" s="12">
        <v>2028</v>
      </c>
      <c r="Q8" s="12">
        <v>2028</v>
      </c>
      <c r="R8" s="12">
        <v>2028</v>
      </c>
    </row>
    <row r="9" spans="1:20" x14ac:dyDescent="0.3">
      <c r="B9" s="8" t="s">
        <v>3</v>
      </c>
      <c r="D9" s="8" t="s">
        <v>4</v>
      </c>
      <c r="E9" s="8" t="s">
        <v>5</v>
      </c>
      <c r="F9" s="8"/>
      <c r="G9" s="8" t="s">
        <v>6</v>
      </c>
      <c r="H9" s="8" t="s">
        <v>7</v>
      </c>
      <c r="I9" s="158" t="s">
        <v>8</v>
      </c>
      <c r="J9" s="158" t="s">
        <v>9</v>
      </c>
      <c r="K9" s="158" t="s">
        <v>10</v>
      </c>
      <c r="L9" s="158" t="s">
        <v>11</v>
      </c>
      <c r="M9" s="158" t="s">
        <v>12</v>
      </c>
      <c r="N9" s="158" t="s">
        <v>13</v>
      </c>
      <c r="O9" s="158" t="s">
        <v>14</v>
      </c>
      <c r="P9" s="158" t="s">
        <v>15</v>
      </c>
      <c r="Q9" s="158" t="s">
        <v>16</v>
      </c>
      <c r="R9" s="158" t="s">
        <v>17</v>
      </c>
      <c r="T9" s="8" t="s">
        <v>18</v>
      </c>
    </row>
    <row r="11" spans="1:20" x14ac:dyDescent="0.3">
      <c r="B11" s="15">
        <v>1</v>
      </c>
      <c r="D11" s="16" t="s">
        <v>83</v>
      </c>
      <c r="G11" s="35">
        <f t="shared" ref="G11:R11" si="0">G34</f>
        <v>0</v>
      </c>
      <c r="H11" s="35">
        <f t="shared" si="0"/>
        <v>0</v>
      </c>
      <c r="I11" s="35">
        <f t="shared" si="0"/>
        <v>0</v>
      </c>
      <c r="J11" s="35">
        <f t="shared" si="0"/>
        <v>2920.5154639175257</v>
      </c>
      <c r="K11" s="35">
        <f t="shared" si="0"/>
        <v>5253.5000000000009</v>
      </c>
      <c r="L11" s="35">
        <f t="shared" si="0"/>
        <v>7742.0000000000009</v>
      </c>
      <c r="M11" s="35">
        <f t="shared" si="0"/>
        <v>10232.135438596491</v>
      </c>
      <c r="N11" s="35">
        <f t="shared" si="0"/>
        <v>13133.063447277991</v>
      </c>
      <c r="O11" s="35">
        <f t="shared" si="0"/>
        <v>17143.662943262414</v>
      </c>
      <c r="P11" s="35">
        <f t="shared" si="0"/>
        <v>20451.381560283688</v>
      </c>
      <c r="Q11" s="35">
        <f t="shared" si="0"/>
        <v>24056.870424448221</v>
      </c>
      <c r="R11" s="35">
        <f t="shared" si="0"/>
        <v>27440.707391058295</v>
      </c>
    </row>
    <row r="12" spans="1:20" x14ac:dyDescent="0.3">
      <c r="O12" s="63"/>
    </row>
    <row r="13" spans="1:20" x14ac:dyDescent="0.3">
      <c r="D13" s="12" t="s">
        <v>211</v>
      </c>
      <c r="G13" s="12">
        <f>Marketing!G33</f>
        <v>0</v>
      </c>
      <c r="H13" s="12">
        <f>Marketing!H33</f>
        <v>0</v>
      </c>
      <c r="I13" s="12">
        <f>Marketing!I33</f>
        <v>5.5555555555555552E-2</v>
      </c>
      <c r="J13" s="160">
        <f>Marketing!J33</f>
        <v>0.51546391752577314</v>
      </c>
      <c r="K13" s="160">
        <f>Marketing!K33</f>
        <v>0.91435185185185186</v>
      </c>
      <c r="L13" s="160">
        <f>Marketing!L33</f>
        <v>1.2962962962962963</v>
      </c>
      <c r="M13" s="160">
        <f>Marketing!M33</f>
        <v>1.718713450292398</v>
      </c>
      <c r="N13" s="160">
        <f>Marketing!N33</f>
        <v>2.196660034967143</v>
      </c>
      <c r="O13" s="160">
        <f>Marketing!O33</f>
        <v>2.759702521670607</v>
      </c>
      <c r="P13" s="160">
        <f>Marketing!P33</f>
        <v>3.2852639873916467</v>
      </c>
      <c r="Q13" s="160">
        <f>Marketing!Q33</f>
        <v>3.8660127020059116</v>
      </c>
      <c r="R13" s="160">
        <f>Marketing!R33</f>
        <v>4.409155505250582</v>
      </c>
      <c r="T13" t="s">
        <v>212</v>
      </c>
    </row>
    <row r="14" spans="1:20" x14ac:dyDescent="0.3">
      <c r="D14" s="12" t="s">
        <v>133</v>
      </c>
      <c r="G14" s="12">
        <v>0</v>
      </c>
      <c r="H14" s="12">
        <v>0</v>
      </c>
      <c r="I14" s="12">
        <v>0</v>
      </c>
      <c r="J14" s="64">
        <f t="shared" ref="J14:R14" si="1">J13*30</f>
        <v>15.463917525773194</v>
      </c>
      <c r="K14" s="64">
        <f t="shared" si="1"/>
        <v>27.430555555555557</v>
      </c>
      <c r="L14" s="64">
        <f t="shared" si="1"/>
        <v>38.888888888888886</v>
      </c>
      <c r="M14" s="64">
        <f t="shared" si="1"/>
        <v>51.561403508771939</v>
      </c>
      <c r="N14" s="64">
        <f t="shared" si="1"/>
        <v>65.899801049014286</v>
      </c>
      <c r="O14" s="64">
        <f t="shared" si="1"/>
        <v>82.791075650118216</v>
      </c>
      <c r="P14" s="64">
        <f t="shared" si="1"/>
        <v>98.557919621749406</v>
      </c>
      <c r="Q14" s="64">
        <f t="shared" si="1"/>
        <v>115.98038106017735</v>
      </c>
      <c r="R14" s="64">
        <f t="shared" si="1"/>
        <v>132.27466515751746</v>
      </c>
    </row>
    <row r="15" spans="1:20" x14ac:dyDescent="0.3">
      <c r="D15" s="12" t="s">
        <v>213</v>
      </c>
      <c r="G15" s="12">
        <v>0</v>
      </c>
      <c r="H15" s="12">
        <v>0</v>
      </c>
      <c r="I15" s="12">
        <v>0</v>
      </c>
      <c r="J15" s="64">
        <f t="shared" ref="J15:R15" si="2">J14*3</f>
        <v>46.391752577319579</v>
      </c>
      <c r="K15" s="64">
        <f t="shared" si="2"/>
        <v>82.291666666666671</v>
      </c>
      <c r="L15" s="64">
        <f t="shared" si="2"/>
        <v>116.66666666666666</v>
      </c>
      <c r="M15" s="64">
        <f t="shared" si="2"/>
        <v>154.68421052631581</v>
      </c>
      <c r="N15" s="64">
        <f t="shared" si="2"/>
        <v>197.69940314704286</v>
      </c>
      <c r="O15" s="64">
        <f t="shared" si="2"/>
        <v>248.37322695035465</v>
      </c>
      <c r="P15" s="64">
        <f t="shared" si="2"/>
        <v>295.6737588652482</v>
      </c>
      <c r="Q15" s="64">
        <f t="shared" si="2"/>
        <v>347.94114318053204</v>
      </c>
      <c r="R15" s="64">
        <f t="shared" si="2"/>
        <v>396.82399547255238</v>
      </c>
    </row>
    <row r="16" spans="1:20" x14ac:dyDescent="0.3">
      <c r="J16" s="55"/>
      <c r="O16" s="71"/>
    </row>
    <row r="17" spans="4:18" x14ac:dyDescent="0.3">
      <c r="D17" s="18" t="s">
        <v>136</v>
      </c>
      <c r="E17" s="12" t="s">
        <v>137</v>
      </c>
      <c r="G17" s="161">
        <f t="shared" ref="G17:R17" si="3">ROUND(IF(G15-G18&lt;=0,0,G15-G18),0)</f>
        <v>0</v>
      </c>
      <c r="H17" s="161">
        <f t="shared" si="3"/>
        <v>0</v>
      </c>
      <c r="I17" s="161">
        <f t="shared" si="3"/>
        <v>0</v>
      </c>
      <c r="J17" s="161">
        <f t="shared" si="3"/>
        <v>45</v>
      </c>
      <c r="K17" s="161">
        <f t="shared" si="3"/>
        <v>79</v>
      </c>
      <c r="L17" s="161">
        <f t="shared" si="3"/>
        <v>112</v>
      </c>
      <c r="M17" s="161">
        <f t="shared" si="3"/>
        <v>148</v>
      </c>
      <c r="N17" s="161">
        <f t="shared" si="3"/>
        <v>190</v>
      </c>
      <c r="O17" s="161">
        <f t="shared" si="3"/>
        <v>233</v>
      </c>
      <c r="P17" s="161">
        <f t="shared" si="3"/>
        <v>278</v>
      </c>
      <c r="Q17" s="161">
        <f t="shared" si="3"/>
        <v>327</v>
      </c>
      <c r="R17" s="161">
        <f t="shared" si="3"/>
        <v>373</v>
      </c>
    </row>
    <row r="18" spans="4:18" x14ac:dyDescent="0.3">
      <c r="D18" s="18" t="s">
        <v>138</v>
      </c>
      <c r="E18" s="12" t="s">
        <v>137</v>
      </c>
      <c r="G18" s="163">
        <f t="array" ref="G18">G15*INDEX(Assumptions!$F$84:$I$84,,MATCH(G$8,Assumptions!$F$82:$I$82))</f>
        <v>0</v>
      </c>
      <c r="H18" s="163">
        <f t="array" ref="H18">H15*INDEX(Assumptions!$F$84:$I$84,,MATCH(H$8,Assumptions!$F$82:$I$82))</f>
        <v>0</v>
      </c>
      <c r="I18" s="163">
        <f t="array" ref="I18">I15*INDEX(Assumptions!$F$84:$I$84,,MATCH(I$8,Assumptions!$F$82:$I$82))</f>
        <v>0</v>
      </c>
      <c r="J18" s="163">
        <f t="array" ref="J18">J15*INDEX(Assumptions!$F$84:$I$84,,MATCH(J$8,Assumptions!$F$82:$I$82))</f>
        <v>0.92783505154639156</v>
      </c>
      <c r="K18" s="163">
        <f t="array" ref="K18">K15*INDEX(Assumptions!$F$84:$I$84,,MATCH(K$8,Assumptions!$F$82:$I$82))</f>
        <v>3.291666666666667</v>
      </c>
      <c r="L18" s="163">
        <f t="array" ref="L18">L15*INDEX(Assumptions!$F$84:$I$84,,MATCH(L$8,Assumptions!$F$82:$I$82))</f>
        <v>4.6666666666666661</v>
      </c>
      <c r="M18" s="163">
        <f t="array" ref="M18">M15*INDEX(Assumptions!$F$84:$I$84,,MATCH(M$8,Assumptions!$F$82:$I$82))</f>
        <v>6.1873684210526321</v>
      </c>
      <c r="N18" s="163">
        <f t="array" ref="N18">N15*INDEX(Assumptions!$F$84:$I$84,,MATCH(N$8,Assumptions!$F$82:$I$82))</f>
        <v>7.9079761258817145</v>
      </c>
      <c r="O18" s="163">
        <f t="array" ref="O18">O15*INDEX(Assumptions!$F$84:$I$84,,MATCH(O$8,Assumptions!$F$82:$I$82))</f>
        <v>14.902393617021279</v>
      </c>
      <c r="P18" s="163">
        <f t="array" ref="P18">P15*INDEX(Assumptions!$F$84:$I$84,,MATCH(P$8,Assumptions!$F$82:$I$82))</f>
        <v>17.740425531914891</v>
      </c>
      <c r="Q18" s="163">
        <f t="array" ref="Q18">Q15*INDEX(Assumptions!$F$84:$I$84,,MATCH(Q$8,Assumptions!$F$82:$I$82))</f>
        <v>20.876468590831923</v>
      </c>
      <c r="R18" s="163">
        <f t="array" ref="R18">R15*INDEX(Assumptions!$F$84:$I$84,,MATCH(R$8,Assumptions!$F$82:$I$82))</f>
        <v>23.809439728353141</v>
      </c>
    </row>
    <row r="19" spans="4:18" x14ac:dyDescent="0.3">
      <c r="D19" s="18"/>
      <c r="I19" s="104"/>
      <c r="J19" s="104"/>
      <c r="K19" s="104"/>
      <c r="L19" s="104"/>
      <c r="M19" s="104"/>
      <c r="N19" s="104"/>
      <c r="O19" s="104"/>
      <c r="P19" s="104"/>
      <c r="Q19" s="104"/>
      <c r="R19" s="104"/>
    </row>
    <row r="20" spans="4:18" x14ac:dyDescent="0.3">
      <c r="D20" s="12" t="s">
        <v>214</v>
      </c>
      <c r="E20" t="s">
        <v>26</v>
      </c>
      <c r="G20" s="34">
        <v>0.8</v>
      </c>
      <c r="H20" s="116">
        <f>G20</f>
        <v>0.8</v>
      </c>
      <c r="I20" s="116">
        <v>0.8</v>
      </c>
      <c r="J20" s="116">
        <v>0.8</v>
      </c>
      <c r="K20" s="116">
        <v>0.8</v>
      </c>
      <c r="L20" s="116">
        <v>0.7</v>
      </c>
      <c r="M20" s="116">
        <v>0.7</v>
      </c>
      <c r="N20" s="116">
        <v>0.7</v>
      </c>
      <c r="O20" s="116">
        <v>0.6</v>
      </c>
      <c r="P20" s="116">
        <v>0.6</v>
      </c>
      <c r="Q20" s="116">
        <v>0.6</v>
      </c>
      <c r="R20" s="116">
        <v>0.6</v>
      </c>
    </row>
    <row r="21" spans="4:18" x14ac:dyDescent="0.3">
      <c r="D21" s="12" t="s">
        <v>215</v>
      </c>
      <c r="E21" t="s">
        <v>26</v>
      </c>
      <c r="G21" s="116">
        <f t="shared" ref="G21:R21" si="4">1-G20</f>
        <v>0.19999999999999996</v>
      </c>
      <c r="H21" s="116">
        <f t="shared" si="4"/>
        <v>0.19999999999999996</v>
      </c>
      <c r="I21" s="116">
        <f t="shared" si="4"/>
        <v>0.19999999999999996</v>
      </c>
      <c r="J21" s="116">
        <f t="shared" si="4"/>
        <v>0.19999999999999996</v>
      </c>
      <c r="K21" s="116">
        <f t="shared" si="4"/>
        <v>0.19999999999999996</v>
      </c>
      <c r="L21" s="116">
        <f t="shared" si="4"/>
        <v>0.30000000000000004</v>
      </c>
      <c r="M21" s="116">
        <f t="shared" si="4"/>
        <v>0.30000000000000004</v>
      </c>
      <c r="N21" s="116">
        <f t="shared" si="4"/>
        <v>0.30000000000000004</v>
      </c>
      <c r="O21" s="116">
        <f t="shared" si="4"/>
        <v>0.4</v>
      </c>
      <c r="P21" s="116">
        <f t="shared" si="4"/>
        <v>0.4</v>
      </c>
      <c r="Q21" s="116">
        <f t="shared" si="4"/>
        <v>0.4</v>
      </c>
      <c r="R21" s="116">
        <f t="shared" si="4"/>
        <v>0.4</v>
      </c>
    </row>
    <row r="22" spans="4:18" x14ac:dyDescent="0.3">
      <c r="D22" s="18"/>
      <c r="I22" s="104"/>
      <c r="J22" s="104"/>
      <c r="K22" s="104"/>
      <c r="L22" s="104"/>
      <c r="M22" s="104"/>
      <c r="N22" s="104"/>
      <c r="O22" s="104"/>
      <c r="P22" s="104"/>
      <c r="Q22" s="104"/>
      <c r="R22" s="104"/>
    </row>
    <row r="23" spans="4:18" x14ac:dyDescent="0.3">
      <c r="D23" s="18" t="s">
        <v>216</v>
      </c>
      <c r="E23" s="12" t="s">
        <v>21</v>
      </c>
      <c r="G23" s="164">
        <f>G24/(1+Assumptions!$F$12)</f>
        <v>58.333333333333336</v>
      </c>
      <c r="H23" s="164">
        <f>H24/(1+Assumptions!$F$12)</f>
        <v>58.333333333333336</v>
      </c>
      <c r="I23" s="164">
        <f>I24/(1+Assumptions!$F$12)</f>
        <v>58.333333333333336</v>
      </c>
      <c r="J23" s="164">
        <f>J24/(1+Assumptions!$F$12)</f>
        <v>58.333333333333336</v>
      </c>
      <c r="K23" s="164">
        <f>K24/(1+Assumptions!$F$12)</f>
        <v>58.333333333333336</v>
      </c>
      <c r="L23" s="164">
        <f>L24/(1+Assumptions!$F$12)</f>
        <v>58.333333333333336</v>
      </c>
      <c r="M23" s="164">
        <f>M24/(1+Assumptions!$F$12)</f>
        <v>58.333333333333336</v>
      </c>
      <c r="N23" s="164">
        <f>N24/(1+Assumptions!$F$12)</f>
        <v>58.333333333333336</v>
      </c>
      <c r="O23" s="164">
        <f>O24/(1+Assumptions!$F$12)</f>
        <v>58.333333333333336</v>
      </c>
      <c r="P23" s="164">
        <f>P24/(1+Assumptions!$F$12)</f>
        <v>58.333333333333336</v>
      </c>
      <c r="Q23" s="164">
        <f>Q24/(1+Assumptions!$F$12)</f>
        <v>58.333333333333336</v>
      </c>
      <c r="R23" s="164">
        <f>R24/(1+Assumptions!$F$12)</f>
        <v>58.333333333333336</v>
      </c>
    </row>
    <row r="24" spans="4:18" x14ac:dyDescent="0.3">
      <c r="D24" s="18" t="s">
        <v>217</v>
      </c>
      <c r="E24" s="12" t="s">
        <v>21</v>
      </c>
      <c r="G24" s="12">
        <v>70</v>
      </c>
      <c r="H24" s="64">
        <f t="shared" ref="H24:R24" si="5">G24</f>
        <v>70</v>
      </c>
      <c r="I24" s="64">
        <f t="shared" si="5"/>
        <v>70</v>
      </c>
      <c r="J24" s="64">
        <f t="shared" si="5"/>
        <v>70</v>
      </c>
      <c r="K24" s="64">
        <f t="shared" si="5"/>
        <v>70</v>
      </c>
      <c r="L24" s="64">
        <f t="shared" si="5"/>
        <v>70</v>
      </c>
      <c r="M24" s="64">
        <f t="shared" si="5"/>
        <v>70</v>
      </c>
      <c r="N24" s="64">
        <f t="shared" si="5"/>
        <v>70</v>
      </c>
      <c r="O24" s="64">
        <f t="shared" si="5"/>
        <v>70</v>
      </c>
      <c r="P24" s="64">
        <f t="shared" si="5"/>
        <v>70</v>
      </c>
      <c r="Q24" s="64">
        <f t="shared" si="5"/>
        <v>70</v>
      </c>
      <c r="R24" s="64">
        <f t="shared" si="5"/>
        <v>70</v>
      </c>
    </row>
    <row r="25" spans="4:18" x14ac:dyDescent="0.3">
      <c r="D25" s="18" t="s">
        <v>218</v>
      </c>
      <c r="E25" s="12" t="s">
        <v>21</v>
      </c>
      <c r="G25" s="164">
        <f>G26/(1+Assumptions!$F$12)</f>
        <v>83.333333333333343</v>
      </c>
      <c r="H25" s="164">
        <f>H26/(1+Assumptions!$F$12)</f>
        <v>83.333333333333343</v>
      </c>
      <c r="I25" s="164">
        <f>I26/(1+Assumptions!$F$12)</f>
        <v>83.333333333333343</v>
      </c>
      <c r="J25" s="164">
        <f>J26/(1+Assumptions!$F$12)</f>
        <v>83.333333333333343</v>
      </c>
      <c r="K25" s="164">
        <f>K26/(1+Assumptions!$F$12)</f>
        <v>83.333333333333343</v>
      </c>
      <c r="L25" s="164">
        <f>L26/(1+Assumptions!$F$12)</f>
        <v>83.333333333333343</v>
      </c>
      <c r="M25" s="164">
        <f>M26/(1+Assumptions!$F$12)</f>
        <v>83.333333333333343</v>
      </c>
      <c r="N25" s="164">
        <f>N26/(1+Assumptions!$F$12)</f>
        <v>83.333333333333343</v>
      </c>
      <c r="O25" s="164">
        <f>O26/(1+Assumptions!$F$12)</f>
        <v>83.333333333333343</v>
      </c>
      <c r="P25" s="164">
        <f>P26/(1+Assumptions!$F$12)</f>
        <v>83.333333333333343</v>
      </c>
      <c r="Q25" s="164">
        <f>Q26/(1+Assumptions!$F$12)</f>
        <v>83.333333333333343</v>
      </c>
      <c r="R25" s="164">
        <f>R26/(1+Assumptions!$F$12)</f>
        <v>83.333333333333343</v>
      </c>
    </row>
    <row r="26" spans="4:18" x14ac:dyDescent="0.3">
      <c r="D26" s="18" t="s">
        <v>219</v>
      </c>
      <c r="E26" s="12" t="s">
        <v>21</v>
      </c>
      <c r="G26" s="12">
        <v>100</v>
      </c>
      <c r="H26" s="64">
        <f t="shared" ref="H26:R26" si="6">G26</f>
        <v>100</v>
      </c>
      <c r="I26" s="64">
        <f t="shared" si="6"/>
        <v>100</v>
      </c>
      <c r="J26" s="64">
        <f t="shared" si="6"/>
        <v>100</v>
      </c>
      <c r="K26" s="64">
        <f t="shared" si="6"/>
        <v>100</v>
      </c>
      <c r="L26" s="64">
        <f t="shared" si="6"/>
        <v>100</v>
      </c>
      <c r="M26" s="64">
        <f t="shared" si="6"/>
        <v>100</v>
      </c>
      <c r="N26" s="64">
        <f t="shared" si="6"/>
        <v>100</v>
      </c>
      <c r="O26" s="64">
        <f t="shared" si="6"/>
        <v>100</v>
      </c>
      <c r="P26" s="64">
        <f t="shared" si="6"/>
        <v>100</v>
      </c>
      <c r="Q26" s="64">
        <f t="shared" si="6"/>
        <v>100</v>
      </c>
      <c r="R26" s="64">
        <f t="shared" si="6"/>
        <v>100</v>
      </c>
    </row>
    <row r="27" spans="4:18" x14ac:dyDescent="0.3">
      <c r="D27" s="18"/>
      <c r="I27" s="104"/>
      <c r="J27" s="104"/>
      <c r="K27" s="104"/>
      <c r="L27" s="104"/>
      <c r="M27" s="104"/>
      <c r="N27" s="104"/>
      <c r="O27" s="104"/>
      <c r="P27" s="104"/>
      <c r="Q27" s="104"/>
      <c r="R27" s="104"/>
    </row>
    <row r="28" spans="4:18" x14ac:dyDescent="0.3">
      <c r="D28" s="18"/>
      <c r="I28" s="104"/>
      <c r="J28" s="104"/>
      <c r="K28" s="104"/>
      <c r="L28" s="104"/>
      <c r="M28" s="104"/>
      <c r="N28" s="104"/>
      <c r="O28" s="104"/>
      <c r="P28" s="104"/>
      <c r="Q28" s="104"/>
      <c r="R28" s="104"/>
    </row>
    <row r="29" spans="4:18" x14ac:dyDescent="0.3">
      <c r="D29" s="12" t="s">
        <v>139</v>
      </c>
      <c r="E29" s="12" t="s">
        <v>21</v>
      </c>
      <c r="G29" s="162">
        <f t="shared" ref="G29:R29" si="7">G23*G20+G25*G21</f>
        <v>63.333333333333336</v>
      </c>
      <c r="H29" s="162">
        <f t="shared" si="7"/>
        <v>63.333333333333336</v>
      </c>
      <c r="I29" s="162">
        <f t="shared" si="7"/>
        <v>63.333333333333336</v>
      </c>
      <c r="J29" s="162">
        <f t="shared" si="7"/>
        <v>63.333333333333336</v>
      </c>
      <c r="K29" s="162">
        <f t="shared" si="7"/>
        <v>63.333333333333336</v>
      </c>
      <c r="L29" s="162">
        <f t="shared" si="7"/>
        <v>65.833333333333343</v>
      </c>
      <c r="M29" s="162">
        <f t="shared" si="7"/>
        <v>65.833333333333343</v>
      </c>
      <c r="N29" s="162">
        <f t="shared" si="7"/>
        <v>65.833333333333343</v>
      </c>
      <c r="O29" s="162">
        <f t="shared" si="7"/>
        <v>68.333333333333343</v>
      </c>
      <c r="P29" s="162">
        <f t="shared" si="7"/>
        <v>68.333333333333343</v>
      </c>
      <c r="Q29" s="162">
        <f t="shared" si="7"/>
        <v>68.333333333333343</v>
      </c>
      <c r="R29" s="162">
        <f t="shared" si="7"/>
        <v>68.333333333333343</v>
      </c>
    </row>
    <row r="30" spans="4:18" x14ac:dyDescent="0.3">
      <c r="D30" s="12" t="s">
        <v>141</v>
      </c>
      <c r="E30" s="12" t="s">
        <v>21</v>
      </c>
      <c r="G30" s="164">
        <f>G29*(1+Assumptions!$F$12)</f>
        <v>76</v>
      </c>
      <c r="H30" s="164">
        <f>H29*(1+Assumptions!$F$12)</f>
        <v>76</v>
      </c>
      <c r="I30" s="164">
        <f>I29*(1+Assumptions!$F$12)</f>
        <v>76</v>
      </c>
      <c r="J30" s="164">
        <f>J29*(1+Assumptions!$F$12)</f>
        <v>76</v>
      </c>
      <c r="K30" s="164">
        <f>K29*(1+Assumptions!$F$12)</f>
        <v>76</v>
      </c>
      <c r="L30" s="164">
        <f>L29*(1+Assumptions!$F$12)</f>
        <v>79.000000000000014</v>
      </c>
      <c r="M30" s="164">
        <f>M29*(1+Assumptions!$F$12)</f>
        <v>79.000000000000014</v>
      </c>
      <c r="N30" s="164">
        <f>N29*(1+Assumptions!$F$12)</f>
        <v>79.000000000000014</v>
      </c>
      <c r="O30" s="164">
        <f>O29*(1+Assumptions!$F$12)</f>
        <v>82.000000000000014</v>
      </c>
      <c r="P30" s="164">
        <f>P29*(1+Assumptions!$F$12)</f>
        <v>82.000000000000014</v>
      </c>
      <c r="Q30" s="164">
        <f>Q29*(1+Assumptions!$F$12)</f>
        <v>82.000000000000014</v>
      </c>
      <c r="R30" s="164">
        <f>R29*(1+Assumptions!$F$12)</f>
        <v>82.000000000000014</v>
      </c>
    </row>
    <row r="31" spans="4:18" x14ac:dyDescent="0.3">
      <c r="D31" s="12" t="s">
        <v>142</v>
      </c>
      <c r="E31" s="12" t="s">
        <v>21</v>
      </c>
      <c r="G31" s="162">
        <v>0</v>
      </c>
      <c r="H31" s="162">
        <v>0</v>
      </c>
      <c r="I31" s="162">
        <v>0</v>
      </c>
      <c r="J31" s="163">
        <f t="array" ref="J31">J29*(1+INDEX(Assumptions!$F$83:$I$83,,MATCH(J$8,Assumptions!$F$82:$I$82)))</f>
        <v>69.666666666666671</v>
      </c>
      <c r="K31" s="163">
        <f t="array" ref="K31">K29*(1+INDEX(Assumptions!$F$83:$I$83,,MATCH(K$8,Assumptions!$F$82:$I$82)))</f>
        <v>69.666666666666671</v>
      </c>
      <c r="L31" s="163">
        <f t="array" ref="L31">L29*(1+INDEX(Assumptions!$F$83:$I$83,,MATCH(L$8,Assumptions!$F$82:$I$82)))</f>
        <v>72.416666666666686</v>
      </c>
      <c r="M31" s="163">
        <f t="array" ref="M31">M29*(1+INDEX(Assumptions!$F$83:$I$83,,MATCH(M$8,Assumptions!$F$82:$I$82)))</f>
        <v>72.416666666666686</v>
      </c>
      <c r="N31" s="163">
        <f t="array" ref="N31">N29*(1+INDEX(Assumptions!$F$83:$I$83,,MATCH(N$8,Assumptions!$F$82:$I$82)))</f>
        <v>72.416666666666686</v>
      </c>
      <c r="O31" s="163">
        <f t="array" ref="O31">O29*(1+INDEX(Assumptions!$F$83:$I$83,,MATCH(O$8,Assumptions!$F$82:$I$82)))</f>
        <v>75.166666666666686</v>
      </c>
      <c r="P31" s="163">
        <f t="array" ref="P31">P29*(1+INDEX(Assumptions!$F$83:$I$83,,MATCH(P$8,Assumptions!$F$82:$I$82)))</f>
        <v>75.166666666666686</v>
      </c>
      <c r="Q31" s="163">
        <f t="array" ref="Q31">Q29*(1+INDEX(Assumptions!$F$83:$I$83,,MATCH(Q$8,Assumptions!$F$82:$I$82)))</f>
        <v>75.166666666666686</v>
      </c>
      <c r="R31" s="163">
        <f t="array" ref="R31">R29*(1+INDEX(Assumptions!$F$83:$I$83,,MATCH(R$8,Assumptions!$F$82:$I$82)))</f>
        <v>75.166666666666686</v>
      </c>
    </row>
    <row r="32" spans="4:18" x14ac:dyDescent="0.3">
      <c r="D32" s="12" t="s">
        <v>144</v>
      </c>
      <c r="E32" s="12" t="s">
        <v>21</v>
      </c>
      <c r="G32" s="71">
        <f>G31*(1+Assumptions!$F$12)</f>
        <v>0</v>
      </c>
      <c r="H32" s="71">
        <f>H31*(1+Assumptions!$F$12)</f>
        <v>0</v>
      </c>
      <c r="I32" s="71">
        <f>I31*(1+Assumptions!$F$12)</f>
        <v>0</v>
      </c>
      <c r="J32" s="165">
        <f>J31*(1+Assumptions!$F$12)</f>
        <v>83.600000000000009</v>
      </c>
      <c r="K32" s="165">
        <f>K31*(1+Assumptions!$F$12)</f>
        <v>83.600000000000009</v>
      </c>
      <c r="L32" s="165">
        <f>L31*(1+Assumptions!$F$12)</f>
        <v>86.90000000000002</v>
      </c>
      <c r="M32" s="165">
        <f>M31*(1+Assumptions!$F$12)</f>
        <v>86.90000000000002</v>
      </c>
      <c r="N32" s="165">
        <f>N31*(1+Assumptions!$F$12)</f>
        <v>86.90000000000002</v>
      </c>
      <c r="O32" s="165">
        <f>O31*(1+Assumptions!$F$12)</f>
        <v>90.200000000000017</v>
      </c>
      <c r="P32" s="165">
        <f>P31*(1+Assumptions!$F$12)</f>
        <v>90.200000000000017</v>
      </c>
      <c r="Q32" s="165">
        <f>Q31*(1+Assumptions!$F$12)</f>
        <v>90.200000000000017</v>
      </c>
      <c r="R32" s="165">
        <f>R31*(1+Assumptions!$F$12)</f>
        <v>90.200000000000017</v>
      </c>
    </row>
    <row r="34" spans="1:20" x14ac:dyDescent="0.3">
      <c r="D34" s="17" t="s">
        <v>145</v>
      </c>
      <c r="E34" s="17"/>
      <c r="F34" s="17"/>
      <c r="G34" s="17"/>
      <c r="H34" s="17"/>
      <c r="I34" s="81">
        <f t="shared" ref="I34:R34" si="8">I35+I36</f>
        <v>0</v>
      </c>
      <c r="J34" s="81">
        <f t="shared" si="8"/>
        <v>2920.5154639175257</v>
      </c>
      <c r="K34" s="81">
        <f t="shared" si="8"/>
        <v>5253.5000000000009</v>
      </c>
      <c r="L34" s="81">
        <f t="shared" si="8"/>
        <v>7742.0000000000009</v>
      </c>
      <c r="M34" s="81">
        <f t="shared" si="8"/>
        <v>10232.135438596491</v>
      </c>
      <c r="N34" s="81">
        <f t="shared" si="8"/>
        <v>13133.063447277991</v>
      </c>
      <c r="O34" s="81">
        <f t="shared" si="8"/>
        <v>17143.662943262414</v>
      </c>
      <c r="P34" s="81">
        <f t="shared" si="8"/>
        <v>20451.381560283688</v>
      </c>
      <c r="Q34" s="81">
        <f t="shared" si="8"/>
        <v>24056.870424448221</v>
      </c>
      <c r="R34" s="81">
        <f t="shared" si="8"/>
        <v>27440.707391058295</v>
      </c>
    </row>
    <row r="35" spans="1:20" x14ac:dyDescent="0.3">
      <c r="D35" s="18" t="s">
        <v>136</v>
      </c>
      <c r="E35" s="12" t="s">
        <v>21</v>
      </c>
      <c r="I35" s="71">
        <f t="shared" ref="I35:R35" si="9">I17*I29</f>
        <v>0</v>
      </c>
      <c r="J35" s="71">
        <f t="shared" si="9"/>
        <v>2850</v>
      </c>
      <c r="K35" s="71">
        <f t="shared" si="9"/>
        <v>5003.3333333333339</v>
      </c>
      <c r="L35" s="71">
        <f t="shared" si="9"/>
        <v>7373.3333333333339</v>
      </c>
      <c r="M35" s="71">
        <f t="shared" si="9"/>
        <v>9743.3333333333339</v>
      </c>
      <c r="N35" s="71">
        <f t="shared" si="9"/>
        <v>12508.333333333336</v>
      </c>
      <c r="O35" s="71">
        <f t="shared" si="9"/>
        <v>15921.66666666667</v>
      </c>
      <c r="P35" s="71">
        <f t="shared" si="9"/>
        <v>18996.666666666668</v>
      </c>
      <c r="Q35" s="71">
        <f t="shared" si="9"/>
        <v>22345.000000000004</v>
      </c>
      <c r="R35" s="71">
        <f t="shared" si="9"/>
        <v>25488.333333333336</v>
      </c>
    </row>
    <row r="36" spans="1:20" x14ac:dyDescent="0.3">
      <c r="D36" s="18" t="s">
        <v>138</v>
      </c>
      <c r="E36" s="12" t="s">
        <v>21</v>
      </c>
      <c r="I36" s="71">
        <f t="shared" ref="I36:R36" si="10">I18*I30</f>
        <v>0</v>
      </c>
      <c r="J36" s="71">
        <f t="shared" si="10"/>
        <v>70.515463917525764</v>
      </c>
      <c r="K36" s="71">
        <f t="shared" si="10"/>
        <v>250.16666666666669</v>
      </c>
      <c r="L36" s="71">
        <f t="shared" si="10"/>
        <v>368.66666666666669</v>
      </c>
      <c r="M36" s="71">
        <f t="shared" si="10"/>
        <v>488.80210526315801</v>
      </c>
      <c r="N36" s="71">
        <f t="shared" si="10"/>
        <v>624.73011394465561</v>
      </c>
      <c r="O36" s="71">
        <f t="shared" si="10"/>
        <v>1221.996276595745</v>
      </c>
      <c r="P36" s="71">
        <f t="shared" si="10"/>
        <v>1454.7148936170213</v>
      </c>
      <c r="Q36" s="71">
        <f t="shared" si="10"/>
        <v>1711.870424448218</v>
      </c>
      <c r="R36" s="71">
        <f t="shared" si="10"/>
        <v>1952.3740577249578</v>
      </c>
    </row>
    <row r="37" spans="1:20" x14ac:dyDescent="0.3">
      <c r="D37" s="12" t="s">
        <v>146</v>
      </c>
      <c r="I37" s="34">
        <v>0</v>
      </c>
      <c r="J37" s="116">
        <f t="shared" ref="J37:R37" si="11">I37</f>
        <v>0</v>
      </c>
      <c r="K37" s="116">
        <f t="shared" si="11"/>
        <v>0</v>
      </c>
      <c r="L37" s="116">
        <f t="shared" si="11"/>
        <v>0</v>
      </c>
      <c r="M37" s="116">
        <f t="shared" si="11"/>
        <v>0</v>
      </c>
      <c r="N37" s="116">
        <f t="shared" si="11"/>
        <v>0</v>
      </c>
      <c r="O37" s="116">
        <f t="shared" si="11"/>
        <v>0</v>
      </c>
      <c r="P37" s="116">
        <f t="shared" si="11"/>
        <v>0</v>
      </c>
      <c r="Q37" s="116">
        <f t="shared" si="11"/>
        <v>0</v>
      </c>
      <c r="R37" s="116">
        <f t="shared" si="11"/>
        <v>0</v>
      </c>
      <c r="T37" t="s">
        <v>220</v>
      </c>
    </row>
    <row r="38" spans="1:20" x14ac:dyDescent="0.3">
      <c r="D38" s="12" t="s">
        <v>148</v>
      </c>
      <c r="I38" s="56">
        <f t="shared" ref="I38:R38" si="12">I34*(1-I37)</f>
        <v>0</v>
      </c>
      <c r="J38" s="56">
        <f t="shared" si="12"/>
        <v>2920.5154639175257</v>
      </c>
      <c r="K38" s="56">
        <f t="shared" si="12"/>
        <v>5253.5000000000009</v>
      </c>
      <c r="L38" s="56">
        <f t="shared" si="12"/>
        <v>7742.0000000000009</v>
      </c>
      <c r="M38" s="56">
        <f t="shared" si="12"/>
        <v>10232.135438596491</v>
      </c>
      <c r="N38" s="56">
        <f t="shared" si="12"/>
        <v>13133.063447277991</v>
      </c>
      <c r="O38" s="56">
        <f t="shared" si="12"/>
        <v>17143.662943262414</v>
      </c>
      <c r="P38" s="56">
        <f t="shared" si="12"/>
        <v>20451.381560283688</v>
      </c>
      <c r="Q38" s="56">
        <f t="shared" si="12"/>
        <v>24056.870424448221</v>
      </c>
      <c r="R38" s="56">
        <f t="shared" si="12"/>
        <v>27440.707391058295</v>
      </c>
    </row>
    <row r="40" spans="1:20" s="119" customFormat="1" x14ac:dyDescent="0.3">
      <c r="A40" s="117"/>
      <c r="B40" s="117"/>
      <c r="C40" s="117"/>
      <c r="D40" s="117" t="s">
        <v>221</v>
      </c>
      <c r="E40" s="117" t="s">
        <v>21</v>
      </c>
      <c r="F40" s="117"/>
      <c r="G40" s="117">
        <v>23100</v>
      </c>
      <c r="H40" s="117">
        <v>18000</v>
      </c>
      <c r="I40" s="155">
        <v>12000</v>
      </c>
      <c r="J40" s="156">
        <v>12000</v>
      </c>
      <c r="K40" s="117"/>
      <c r="L40" s="117"/>
      <c r="M40" s="117"/>
      <c r="N40" s="117"/>
      <c r="O40" s="117"/>
      <c r="T40" s="119" t="s">
        <v>222</v>
      </c>
    </row>
    <row r="43" spans="1:20" x14ac:dyDescent="0.3">
      <c r="B43" s="15">
        <v>2</v>
      </c>
      <c r="D43" s="16" t="s">
        <v>149</v>
      </c>
      <c r="O43" s="35"/>
    </row>
    <row r="45" spans="1:20" x14ac:dyDescent="0.3">
      <c r="D45" s="112"/>
      <c r="I45" s="113"/>
      <c r="J45" s="113"/>
      <c r="K45" s="113"/>
      <c r="L45" s="113"/>
      <c r="M45" s="113"/>
      <c r="N45" s="113"/>
      <c r="O45" s="113"/>
      <c r="P45" s="113"/>
      <c r="Q45" s="113"/>
      <c r="R45" s="113"/>
    </row>
    <row r="46" spans="1:20" x14ac:dyDescent="0.3">
      <c r="D46" s="112" t="s">
        <v>223</v>
      </c>
      <c r="E46" t="s">
        <v>26</v>
      </c>
      <c r="I46" s="67">
        <v>1</v>
      </c>
      <c r="J46" s="67">
        <v>1</v>
      </c>
      <c r="K46" s="67">
        <v>1</v>
      </c>
      <c r="L46" s="67">
        <v>1</v>
      </c>
      <c r="M46" s="67">
        <v>1</v>
      </c>
      <c r="N46" s="67">
        <v>1</v>
      </c>
      <c r="O46" s="67">
        <v>0.95</v>
      </c>
      <c r="P46" s="67">
        <v>0.9</v>
      </c>
      <c r="Q46" s="67">
        <v>0.8</v>
      </c>
      <c r="R46" s="67">
        <v>0.7</v>
      </c>
      <c r="T46" t="s">
        <v>224</v>
      </c>
    </row>
    <row r="47" spans="1:20" x14ac:dyDescent="0.3">
      <c r="D47" s="115" t="s">
        <v>225</v>
      </c>
      <c r="I47" s="114">
        <f>IFERROR(MATCH(I$13,Assumptions!$F$20:$N$20,1),1)</f>
        <v>1</v>
      </c>
      <c r="J47" s="114">
        <f>IFERROR(MATCH(J$13,Assumptions!$F$20:$N$20,1),1)</f>
        <v>1</v>
      </c>
      <c r="K47" s="114">
        <f>IFERROR(MATCH(K$13,Assumptions!$F$20:$N$20,1),1)</f>
        <v>1</v>
      </c>
      <c r="L47" s="114">
        <f>IFERROR(MATCH(L$13,Assumptions!$F$20:$N$20,1),1)</f>
        <v>1</v>
      </c>
      <c r="M47" s="114">
        <f>IFERROR(MATCH(M$13,Assumptions!$F$20:$N$20,1),1)</f>
        <v>1</v>
      </c>
      <c r="N47" s="114">
        <f>IFERROR(MATCH(N$13,Assumptions!$F$20:$N$20,1),1)</f>
        <v>2</v>
      </c>
      <c r="O47" s="114">
        <f>IFERROR(MATCH(O$13,Assumptions!$F$20:$N$20,1),1)</f>
        <v>2</v>
      </c>
      <c r="P47" s="114">
        <f>IFERROR(MATCH(P$13,Assumptions!$F$20:$N$20,1),1)</f>
        <v>3</v>
      </c>
      <c r="Q47" s="114">
        <f>IFERROR(MATCH(Q$13,Assumptions!$F$20:$N$20,1),1)</f>
        <v>3</v>
      </c>
      <c r="R47" s="114">
        <f>IFERROR(MATCH(R$13,Assumptions!$F$20:$N$20,1),1)</f>
        <v>4</v>
      </c>
    </row>
    <row r="48" spans="1:20" x14ac:dyDescent="0.3">
      <c r="D48" s="115"/>
      <c r="I48" s="114"/>
      <c r="J48" s="114"/>
      <c r="K48" s="114"/>
      <c r="L48" s="114"/>
      <c r="M48" s="114"/>
      <c r="N48" s="114"/>
      <c r="O48" s="114"/>
      <c r="P48" s="114"/>
      <c r="Q48" s="114"/>
      <c r="R48" s="114"/>
    </row>
    <row r="49" spans="1:20" x14ac:dyDescent="0.3">
      <c r="D49" s="17" t="s">
        <v>150</v>
      </c>
      <c r="G49" s="159">
        <v>0</v>
      </c>
      <c r="H49" s="159">
        <v>0</v>
      </c>
      <c r="I49" s="166">
        <f t="shared" ref="I49:R49" si="13">SUM(I50:I55)</f>
        <v>0</v>
      </c>
      <c r="J49" s="166">
        <f t="shared" si="13"/>
        <v>-679.83144329896891</v>
      </c>
      <c r="K49" s="166">
        <f t="shared" si="13"/>
        <v>-1221.261</v>
      </c>
      <c r="L49" s="166">
        <f t="shared" si="13"/>
        <v>-1805.8833333333334</v>
      </c>
      <c r="M49" s="166">
        <f t="shared" si="13"/>
        <v>-2422.773848120301</v>
      </c>
      <c r="N49" s="166">
        <f t="shared" si="13"/>
        <v>-3126.197654910472</v>
      </c>
      <c r="O49" s="166">
        <f t="shared" si="13"/>
        <v>-4033.7683646572104</v>
      </c>
      <c r="P49" s="166">
        <f t="shared" si="13"/>
        <v>-4805.4580028368791</v>
      </c>
      <c r="Q49" s="166">
        <f t="shared" si="13"/>
        <v>-5621.7083585429864</v>
      </c>
      <c r="R49" s="166">
        <f t="shared" si="13"/>
        <v>-6369.1358169779278</v>
      </c>
    </row>
    <row r="50" spans="1:20" x14ac:dyDescent="0.3">
      <c r="D50" s="18" t="s">
        <v>151</v>
      </c>
      <c r="E50" s="19"/>
      <c r="F50" s="19"/>
      <c r="G50" s="159">
        <v>0</v>
      </c>
      <c r="H50" s="159">
        <v>0</v>
      </c>
      <c r="I50" s="164">
        <f t="array" ref="I50">-IFERROR((INDEX(CHOOSE($F$7,Assumptions!$F$24:$N$24,Assumptions!$F$37:$N$37),1,I$47)*(1-I$21)+INDEX(CHOOSE($F$7,Assumptions!$F$25:$N$25,Assumptions!$F$38:$N$38),1,I$47)*I$21)*I$15,0)</f>
        <v>0</v>
      </c>
      <c r="J50" s="164">
        <f t="array" ref="J50">-IFERROR((INDEX(CHOOSE($F$7,Assumptions!$F$24:$N$24,Assumptions!$F$37:$N$37),1,J$47)*(1-J$21)+INDEX(CHOOSE($F$7,Assumptions!$F$25:$N$25,Assumptions!$F$38:$N$38),1,J$47)*J$21)*J$15,0)</f>
        <v>-422.62886597938132</v>
      </c>
      <c r="K50" s="164">
        <f t="array" ref="K50">-IFERROR((INDEX(CHOOSE($F$7,Assumptions!$F$24:$N$24,Assumptions!$F$37:$N$37),1,K$47)*(1-K$21)+INDEX(CHOOSE($F$7,Assumptions!$F$25:$N$25,Assumptions!$F$38:$N$38),1,K$47)*K$21)*K$15,0)</f>
        <v>-749.67708333333337</v>
      </c>
      <c r="L50" s="164">
        <f t="array" ref="L50">-IFERROR((INDEX(CHOOSE($F$7,Assumptions!$F$24:$N$24,Assumptions!$F$37:$N$37),1,L$47)*(1-L$21)+INDEX(CHOOSE($F$7,Assumptions!$F$25:$N$25,Assumptions!$F$38:$N$38),1,L$47)*L$21)*L$15,0)</f>
        <v>-1100.1666666666665</v>
      </c>
      <c r="M50" s="164">
        <f t="array" ref="M50">-IFERROR((INDEX(CHOOSE($F$7,Assumptions!$F$24:$N$24,Assumptions!$F$37:$N$37),1,M$47)*(1-M$21)+INDEX(CHOOSE($F$7,Assumptions!$F$25:$N$25,Assumptions!$F$38:$N$38),1,M$47)*M$21)*M$15,0)</f>
        <v>-1458.6721052631581</v>
      </c>
      <c r="N50" s="164">
        <f t="array" ref="N50">-IFERROR((INDEX(CHOOSE($F$7,Assumptions!$F$24:$N$24,Assumptions!$F$37:$N$37),1,N$47)*(1-N$21)+INDEX(CHOOSE($F$7,Assumptions!$F$25:$N$25,Assumptions!$F$38:$N$38),1,N$47)*N$21)*N$15,0)</f>
        <v>-1864.3053716766142</v>
      </c>
      <c r="O50" s="164">
        <f t="array" ref="O50">-IFERROR((INDEX(CHOOSE($F$7,Assumptions!$F$24:$N$24,Assumptions!$F$37:$N$37),1,O$47)*(1-O$21)+INDEX(CHOOSE($F$7,Assumptions!$F$25:$N$25,Assumptions!$F$38:$N$38),1,O$47)*O$21)*O$15,0)</f>
        <v>-2421.6389627659578</v>
      </c>
      <c r="P50" s="164">
        <f t="array" ref="P50">-IFERROR((INDEX(CHOOSE($F$7,Assumptions!$F$24:$N$24,Assumptions!$F$37:$N$37),1,P$47)*(1-P$21)+INDEX(CHOOSE($F$7,Assumptions!$F$25:$N$25,Assumptions!$F$38:$N$38),1,P$47)*P$21)*P$15,0)</f>
        <v>-2882.8191489361698</v>
      </c>
      <c r="Q50" s="164">
        <f t="array" ref="Q50">-IFERROR((INDEX(CHOOSE($F$7,Assumptions!$F$24:$N$24,Assumptions!$F$37:$N$37),1,Q$47)*(1-Q$21)+INDEX(CHOOSE($F$7,Assumptions!$F$25:$N$25,Assumptions!$F$38:$N$38),1,Q$47)*Q$21)*Q$15,0)</f>
        <v>-3392.4261460101875</v>
      </c>
      <c r="R50" s="164">
        <f t="array" ref="R50">-IFERROR((INDEX(CHOOSE($F$7,Assumptions!$F$24:$N$24,Assumptions!$F$37:$N$37),1,R$47)*(1-R$21)+INDEX(CHOOSE($F$7,Assumptions!$F$25:$N$25,Assumptions!$F$38:$N$38),1,R$47)*R$21)*R$15,0)</f>
        <v>-3869.0339558573855</v>
      </c>
    </row>
    <row r="51" spans="1:20" x14ac:dyDescent="0.3">
      <c r="D51" s="18" t="s">
        <v>153</v>
      </c>
      <c r="E51" s="19"/>
      <c r="F51" s="19"/>
      <c r="G51" s="159">
        <v>0</v>
      </c>
      <c r="H51" s="159">
        <v>0</v>
      </c>
      <c r="I51" s="164">
        <f t="array" ref="I51">-IFERROR(INDEX(CHOOSE($F$7,Assumptions!$F$26:$N$26,Assumptions!$F$39:$N$39),1,I$47)*I$15,0)</f>
        <v>0</v>
      </c>
      <c r="J51" s="164">
        <f t="array" ref="J51">-IFERROR(INDEX(CHOOSE($F$7,Assumptions!$F$26:$N$26,Assumptions!$F$39:$N$39),1,J$47)*J$15,0)</f>
        <v>-127.11340206185565</v>
      </c>
      <c r="K51" s="164">
        <f t="array" ref="K51">-IFERROR(INDEX(CHOOSE($F$7,Assumptions!$F$26:$N$26,Assumptions!$F$39:$N$39),1,K$47)*K$15,0)</f>
        <v>-225.47916666666669</v>
      </c>
      <c r="L51" s="164">
        <f t="array" ref="L51">-IFERROR(INDEX(CHOOSE($F$7,Assumptions!$F$26:$N$26,Assumptions!$F$39:$N$39),1,L$47)*L$15,0)</f>
        <v>-319.66666666666669</v>
      </c>
      <c r="M51" s="164">
        <f t="array" ref="M51">-IFERROR(INDEX(CHOOSE($F$7,Assumptions!$F$26:$N$26,Assumptions!$F$39:$N$39),1,M$47)*M$15,0)</f>
        <v>-423.83473684210537</v>
      </c>
      <c r="N51" s="164">
        <f t="array" ref="N51">-IFERROR(INDEX(CHOOSE($F$7,Assumptions!$F$26:$N$26,Assumptions!$F$39:$N$39),1,N$47)*N$15,0)</f>
        <v>-541.69636462289748</v>
      </c>
      <c r="O51" s="164">
        <f t="array" ref="O51">-IFERROR(INDEX(CHOOSE($F$7,Assumptions!$F$26:$N$26,Assumptions!$F$39:$N$39),1,O$47)*O$15,0)</f>
        <v>-680.54264184397175</v>
      </c>
      <c r="P51" s="164">
        <f t="array" ref="P51">-IFERROR(INDEX(CHOOSE($F$7,Assumptions!$F$26:$N$26,Assumptions!$F$39:$N$39),1,P$47)*P$15,0)</f>
        <v>-810.14609929078017</v>
      </c>
      <c r="Q51" s="164">
        <f t="array" ref="Q51">-IFERROR(INDEX(CHOOSE($F$7,Assumptions!$F$26:$N$26,Assumptions!$F$39:$N$39),1,Q$47)*Q$15,0)</f>
        <v>-953.35873231465791</v>
      </c>
      <c r="R51" s="164">
        <f t="array" ref="R51">-IFERROR(INDEX(CHOOSE($F$7,Assumptions!$F$26:$N$26,Assumptions!$F$39:$N$39),1,R$47)*R$15,0)</f>
        <v>-1087.2977475947937</v>
      </c>
    </row>
    <row r="52" spans="1:20" x14ac:dyDescent="0.3">
      <c r="D52" s="18" t="s">
        <v>154</v>
      </c>
      <c r="E52" s="19"/>
      <c r="F52" s="19"/>
      <c r="G52" s="159">
        <v>0</v>
      </c>
      <c r="H52" s="159">
        <v>0</v>
      </c>
      <c r="I52" s="164">
        <f t="array" ref="I52">-IFERROR(INDEX(CHOOSE($F$7,Assumptions!$F$32:$N$32,Assumptions!$F$45:$N$45),1,I$47)*I$15,0)</f>
        <v>0</v>
      </c>
      <c r="J52" s="164">
        <f t="array" ref="J52">-IFERROR(INDEX(CHOOSE($F$7,Assumptions!$F$32:$N$32,Assumptions!$F$45:$N$45),1,J$47)*J$15,0)</f>
        <v>-1.8556701030927831</v>
      </c>
      <c r="K52" s="164">
        <f t="array" ref="K52">-IFERROR(INDEX(CHOOSE($F$7,Assumptions!$F$32:$N$32,Assumptions!$F$45:$N$45),1,K$47)*K$15,0)</f>
        <v>-3.291666666666667</v>
      </c>
      <c r="L52" s="164">
        <f t="array" ref="L52">-IFERROR(INDEX(CHOOSE($F$7,Assumptions!$F$32:$N$32,Assumptions!$F$45:$N$45),1,L$47)*L$15,0)</f>
        <v>-4.6666666666666661</v>
      </c>
      <c r="M52" s="164">
        <f t="array" ref="M52">-IFERROR(INDEX(CHOOSE($F$7,Assumptions!$F$32:$N$32,Assumptions!$F$45:$N$45),1,M$47)*M$15,0)</f>
        <v>-6.1873684210526321</v>
      </c>
      <c r="N52" s="164">
        <f t="array" ref="N52">-IFERROR(INDEX(CHOOSE($F$7,Assumptions!$F$32:$N$32,Assumptions!$F$45:$N$45),1,N$47)*N$15,0)</f>
        <v>-7.9079761258817145</v>
      </c>
      <c r="O52" s="164">
        <f t="array" ref="O52">-IFERROR(INDEX(CHOOSE($F$7,Assumptions!$F$32:$N$32,Assumptions!$F$45:$N$45),1,O$47)*O$15,0)</f>
        <v>-9.9349290780141857</v>
      </c>
      <c r="P52" s="164">
        <f t="array" ref="P52">-IFERROR(INDEX(CHOOSE($F$7,Assumptions!$F$32:$N$32,Assumptions!$F$45:$N$45),1,P$47)*P$15,0)</f>
        <v>-11.826950354609929</v>
      </c>
      <c r="Q52" s="164">
        <f t="array" ref="Q52">-IFERROR(INDEX(CHOOSE($F$7,Assumptions!$F$32:$N$32,Assumptions!$F$45:$N$45),1,Q$47)*Q$15,0)</f>
        <v>-13.917645727221283</v>
      </c>
      <c r="R52" s="164">
        <f t="array" ref="R52">-IFERROR(INDEX(CHOOSE($F$7,Assumptions!$F$32:$N$32,Assumptions!$F$45:$N$45),1,R$47)*R$15,0)</f>
        <v>-15.872959818902096</v>
      </c>
    </row>
    <row r="53" spans="1:20" x14ac:dyDescent="0.3">
      <c r="D53" s="18" t="s">
        <v>155</v>
      </c>
      <c r="E53" s="19"/>
      <c r="F53" s="19"/>
      <c r="G53" s="159">
        <v>0</v>
      </c>
      <c r="H53" s="159">
        <v>0</v>
      </c>
      <c r="I53" s="164">
        <f>-IFERROR((INDEX(CHOOSE($F$7,Assumptions!$F$30:$N$30,Assumptions!$F$43:$N$43),1,I$47)*I$46+INDEX(CHOOSE($F$7,Assumptions!$F$31:$N$31,Assumptions!$F$44:$N$44),1,I$47)*(1-I$46))*I$15,0)+Assumptions!$F$114*I$15</f>
        <v>0</v>
      </c>
      <c r="J53" s="182">
        <f>-IFERROR((INDEX(CHOOSE($F$7,Assumptions!$F$30:$N$30,Assumptions!$F$43:$N$43),1,J$47)*J$46+INDEX(CHOOSE($F$7,Assumptions!$F$31:$N$31,Assumptions!$F$44:$N$44),1,J$47)*(1-J$46))*J$15,0)+Assumptions!$F$114*J$15</f>
        <v>-74.690721649484516</v>
      </c>
      <c r="K53" s="164">
        <f>-IFERROR((INDEX(CHOOSE($F$7,Assumptions!$F$30:$N$30,Assumptions!$F$43:$N$43),1,K$47)*K$46+INDEX(CHOOSE($F$7,Assumptions!$F$31:$N$31,Assumptions!$F$44:$N$44),1,K$47)*(1-K$46))*K$15,0)+Assumptions!$F$114*K$15</f>
        <v>-132.48958333333331</v>
      </c>
      <c r="L53" s="164">
        <f>-IFERROR((INDEX(CHOOSE($F$7,Assumptions!$F$30:$N$30,Assumptions!$F$43:$N$43),1,L$47)*L$46+INDEX(CHOOSE($F$7,Assumptions!$F$31:$N$31,Assumptions!$F$44:$N$44),1,L$47)*(1-L$46))*L$15,0)+Assumptions!$F$114*L$15</f>
        <v>-187.83333333333326</v>
      </c>
      <c r="M53" s="164">
        <f>-IFERROR((INDEX(CHOOSE($F$7,Assumptions!$F$30:$N$30,Assumptions!$F$43:$N$43),1,M$47)*M$46+INDEX(CHOOSE($F$7,Assumptions!$F$31:$N$31,Assumptions!$F$44:$N$44),1,M$47)*(1-M$46))*M$15,0)+Assumptions!$F$114*M$15</f>
        <v>-249.04157894736841</v>
      </c>
      <c r="N53" s="164">
        <f>-IFERROR((INDEX(CHOOSE($F$7,Assumptions!$F$30:$N$30,Assumptions!$F$43:$N$43),1,N$47)*N$46+INDEX(CHOOSE($F$7,Assumptions!$F$31:$N$31,Assumptions!$F$44:$N$44),1,N$47)*(1-N$46))*N$15,0)+Assumptions!$F$114*N$15</f>
        <v>-318.29603906673901</v>
      </c>
      <c r="O53" s="164">
        <f>-IFERROR((INDEX(CHOOSE($F$7,Assumptions!$F$30:$N$30,Assumptions!$F$43:$N$43),1,O$47)*O$46+INDEX(CHOOSE($F$7,Assumptions!$F$31:$N$31,Assumptions!$F$44:$N$44),1,O$47)*(1-O$46))*O$15,0)+Assumptions!$F$114*O$15</f>
        <v>-378.76917109929082</v>
      </c>
      <c r="P53" s="164">
        <f>-IFERROR((INDEX(CHOOSE($F$7,Assumptions!$F$30:$N$30,Assumptions!$F$43:$N$43),1,P$47)*P$46+INDEX(CHOOSE($F$7,Assumptions!$F$31:$N$31,Assumptions!$F$44:$N$44),1,P$47)*(1-P$46))*P$15,0)+Assumptions!$F$114*P$15</f>
        <v>-425.77021276595747</v>
      </c>
      <c r="Q53" s="164">
        <f>-IFERROR((INDEX(CHOOSE($F$7,Assumptions!$F$30:$N$30,Assumptions!$F$43:$N$43),1,Q$47)*Q$46+INDEX(CHOOSE($F$7,Assumptions!$F$31:$N$31,Assumptions!$F$44:$N$44),1,Q$47)*(1-Q$46))*Q$15,0)+Assumptions!$F$114*Q$15</f>
        <v>-441.88525183927527</v>
      </c>
      <c r="R53" s="164">
        <f>-IFERROR((INDEX(CHOOSE($F$7,Assumptions!$F$30:$N$30,Assumptions!$F$43:$N$43),1,R$47)*R$46+INDEX(CHOOSE($F$7,Assumptions!$F$31:$N$31,Assumptions!$F$44:$N$44),1,R$47)*(1-R$46))*R$15,0)+Assumptions!$F$114*R$15</f>
        <v>-436.50639501980754</v>
      </c>
      <c r="T53" t="s">
        <v>226</v>
      </c>
    </row>
    <row r="54" spans="1:20" x14ac:dyDescent="0.3">
      <c r="D54" s="18" t="s">
        <v>156</v>
      </c>
      <c r="E54" s="19"/>
      <c r="F54" s="19"/>
      <c r="G54" s="159">
        <v>0</v>
      </c>
      <c r="H54" s="159">
        <v>0</v>
      </c>
      <c r="I54" s="164">
        <f>-I$34*I$63*Assumptions!$F$77</f>
        <v>0</v>
      </c>
      <c r="J54" s="164">
        <f>-J$34*J$63*Assumptions!$F$77</f>
        <v>-9.7350515463917517</v>
      </c>
      <c r="K54" s="164">
        <f>-K$34*K$63*Assumptions!$F$77</f>
        <v>-31.521000000000008</v>
      </c>
      <c r="L54" s="164">
        <f>-L$34*L$63*Assumptions!$F$77</f>
        <v>-77.42</v>
      </c>
      <c r="M54" s="164">
        <f>-M$34*M$63*Assumptions!$F$77</f>
        <v>-131.55602706766916</v>
      </c>
      <c r="N54" s="164">
        <f>-N$34*N$63*Assumptions!$F$77</f>
        <v>-196.99595170916987</v>
      </c>
      <c r="O54" s="164">
        <f>-O$34*O$63*Assumptions!$F$77</f>
        <v>-285.72771572104023</v>
      </c>
      <c r="P54" s="164">
        <f>-P$34*P$63*Assumptions!$F$77</f>
        <v>-368.12486808510636</v>
      </c>
      <c r="Q54" s="164">
        <f>-Q$34*Q$63*Assumptions!$F$77</f>
        <v>-459.26752628492056</v>
      </c>
      <c r="R54" s="164">
        <f>-R$34*R$63*Assumptions!$F$77</f>
        <v>-548.81414782116588</v>
      </c>
    </row>
    <row r="55" spans="1:20" x14ac:dyDescent="0.3">
      <c r="D55" s="18" t="s">
        <v>158</v>
      </c>
      <c r="E55" s="19"/>
      <c r="F55" s="19"/>
      <c r="G55" s="159">
        <v>0</v>
      </c>
      <c r="H55" s="159">
        <v>0</v>
      </c>
      <c r="I55" s="164"/>
      <c r="J55" s="164">
        <f>-J34*Assumptions!$F$60</f>
        <v>-43.807731958762886</v>
      </c>
      <c r="K55" s="164">
        <f>-K34*Assumptions!$F$60</f>
        <v>-78.802500000000009</v>
      </c>
      <c r="L55" s="164">
        <f>-L34*Assumptions!$F$60</f>
        <v>-116.13000000000001</v>
      </c>
      <c r="M55" s="164">
        <f>-M34*Assumptions!$F$60</f>
        <v>-153.48203157894736</v>
      </c>
      <c r="N55" s="164">
        <f>-N34*Assumptions!$F$60</f>
        <v>-196.99595170916987</v>
      </c>
      <c r="O55" s="164">
        <f>-O34*Assumptions!$F$60</f>
        <v>-257.15494414893618</v>
      </c>
      <c r="P55" s="164">
        <f>-P34*Assumptions!$F$60</f>
        <v>-306.77072340425531</v>
      </c>
      <c r="Q55" s="164">
        <f>-Q34*Assumptions!$F$60</f>
        <v>-360.85305636672331</v>
      </c>
      <c r="R55" s="164">
        <f>-R34*Assumptions!$F$60</f>
        <v>-411.61061086587443</v>
      </c>
    </row>
    <row r="58" spans="1:20" x14ac:dyDescent="0.3">
      <c r="D58" s="17" t="s">
        <v>227</v>
      </c>
      <c r="H58" s="17">
        <v>-3000</v>
      </c>
      <c r="I58" s="17">
        <v>-400</v>
      </c>
      <c r="J58" s="167">
        <f t="shared" ref="J58:R58" si="14">J$60*J$64</f>
        <v>-425</v>
      </c>
      <c r="K58" s="167">
        <f t="shared" si="14"/>
        <v>-500</v>
      </c>
      <c r="L58" s="167">
        <f t="shared" si="14"/>
        <v>-1000</v>
      </c>
      <c r="M58" s="167">
        <f t="shared" si="14"/>
        <v>-1000</v>
      </c>
      <c r="N58" s="167">
        <f t="shared" si="14"/>
        <v>-1000</v>
      </c>
      <c r="O58" s="167">
        <f t="shared" si="14"/>
        <v>-1000</v>
      </c>
      <c r="P58" s="167">
        <f t="shared" si="14"/>
        <v>-1000</v>
      </c>
      <c r="Q58" s="167">
        <f t="shared" si="14"/>
        <v>-1000</v>
      </c>
      <c r="R58" s="167">
        <f t="shared" si="14"/>
        <v>-1000</v>
      </c>
    </row>
    <row r="59" spans="1:20" x14ac:dyDescent="0.3">
      <c r="D59" s="12" t="s">
        <v>228</v>
      </c>
      <c r="H59" s="12">
        <v>7</v>
      </c>
      <c r="I59" s="12">
        <v>8</v>
      </c>
      <c r="J59" s="12">
        <v>9</v>
      </c>
      <c r="K59" s="12">
        <v>10</v>
      </c>
      <c r="L59" s="161">
        <f t="shared" ref="L59:R59" si="15">K59+2</f>
        <v>12</v>
      </c>
      <c r="M59" s="161">
        <f t="shared" si="15"/>
        <v>14</v>
      </c>
      <c r="N59" s="161">
        <f t="shared" si="15"/>
        <v>16</v>
      </c>
      <c r="O59" s="161">
        <f t="shared" si="15"/>
        <v>18</v>
      </c>
      <c r="P59" s="161">
        <f t="shared" si="15"/>
        <v>20</v>
      </c>
      <c r="Q59" s="161">
        <f t="shared" si="15"/>
        <v>22</v>
      </c>
      <c r="R59" s="161">
        <f t="shared" si="15"/>
        <v>24</v>
      </c>
    </row>
    <row r="60" spans="1:20" x14ac:dyDescent="0.3">
      <c r="D60" s="12" t="s">
        <v>229</v>
      </c>
      <c r="I60" s="161">
        <f t="shared" ref="I60:R60" si="16">I59-H59</f>
        <v>1</v>
      </c>
      <c r="J60" s="161">
        <f t="shared" si="16"/>
        <v>1</v>
      </c>
      <c r="K60" s="12">
        <f t="shared" si="16"/>
        <v>1</v>
      </c>
      <c r="L60" s="161">
        <f t="shared" si="16"/>
        <v>2</v>
      </c>
      <c r="M60" s="161">
        <f t="shared" si="16"/>
        <v>2</v>
      </c>
      <c r="N60" s="161">
        <f t="shared" si="16"/>
        <v>2</v>
      </c>
      <c r="O60" s="161">
        <f t="shared" si="16"/>
        <v>2</v>
      </c>
      <c r="P60" s="161">
        <f t="shared" si="16"/>
        <v>2</v>
      </c>
      <c r="Q60" s="161">
        <f t="shared" si="16"/>
        <v>2</v>
      </c>
      <c r="R60" s="161">
        <f t="shared" si="16"/>
        <v>2</v>
      </c>
    </row>
    <row r="61" spans="1:20" x14ac:dyDescent="0.3">
      <c r="D61" s="12" t="s">
        <v>230</v>
      </c>
      <c r="I61" s="12">
        <v>1</v>
      </c>
      <c r="J61" s="12">
        <v>1</v>
      </c>
      <c r="K61" s="12">
        <v>2</v>
      </c>
      <c r="L61" s="161">
        <f t="shared" ref="L61:R61" si="17">K61+(L59-K59)</f>
        <v>4</v>
      </c>
      <c r="M61" s="161">
        <f t="shared" si="17"/>
        <v>6</v>
      </c>
      <c r="N61" s="161">
        <f t="shared" si="17"/>
        <v>8</v>
      </c>
      <c r="O61" s="161">
        <f t="shared" si="17"/>
        <v>10</v>
      </c>
      <c r="P61" s="161">
        <f t="shared" si="17"/>
        <v>12</v>
      </c>
      <c r="Q61" s="161">
        <f t="shared" si="17"/>
        <v>14</v>
      </c>
      <c r="R61" s="161">
        <f t="shared" si="17"/>
        <v>16</v>
      </c>
    </row>
    <row r="62" spans="1:20" x14ac:dyDescent="0.3">
      <c r="D62" s="12" t="s">
        <v>231</v>
      </c>
      <c r="I62" s="161">
        <f>I61</f>
        <v>1</v>
      </c>
      <c r="J62" s="161">
        <f t="shared" ref="J62:R62" si="18">J61-I61</f>
        <v>0</v>
      </c>
      <c r="K62" s="161">
        <f t="shared" si="18"/>
        <v>1</v>
      </c>
      <c r="L62" s="161">
        <f t="shared" si="18"/>
        <v>2</v>
      </c>
      <c r="M62" s="161">
        <f t="shared" si="18"/>
        <v>2</v>
      </c>
      <c r="N62" s="161">
        <f t="shared" si="18"/>
        <v>2</v>
      </c>
      <c r="O62" s="161">
        <f t="shared" si="18"/>
        <v>2</v>
      </c>
      <c r="P62" s="161">
        <f t="shared" si="18"/>
        <v>2</v>
      </c>
      <c r="Q62" s="161">
        <f t="shared" si="18"/>
        <v>2</v>
      </c>
      <c r="R62" s="161">
        <f t="shared" si="18"/>
        <v>2</v>
      </c>
    </row>
    <row r="63" spans="1:20" s="119" customFormat="1" x14ac:dyDescent="0.3">
      <c r="A63" s="117"/>
      <c r="B63" s="117"/>
      <c r="C63" s="117"/>
      <c r="D63" s="117" t="s">
        <v>232</v>
      </c>
      <c r="E63" s="117"/>
      <c r="F63" s="117"/>
      <c r="G63" s="117"/>
      <c r="H63" s="117"/>
      <c r="I63" s="118">
        <f t="shared" ref="I63:R63" si="19">I61/I59</f>
        <v>0.125</v>
      </c>
      <c r="J63" s="118">
        <f t="shared" si="19"/>
        <v>0.1111111111111111</v>
      </c>
      <c r="K63" s="118">
        <f t="shared" si="19"/>
        <v>0.2</v>
      </c>
      <c r="L63" s="118">
        <f t="shared" si="19"/>
        <v>0.33333333333333331</v>
      </c>
      <c r="M63" s="118">
        <f t="shared" si="19"/>
        <v>0.42857142857142855</v>
      </c>
      <c r="N63" s="118">
        <f t="shared" si="19"/>
        <v>0.5</v>
      </c>
      <c r="O63" s="118">
        <f t="shared" si="19"/>
        <v>0.55555555555555558</v>
      </c>
      <c r="P63" s="118">
        <f t="shared" si="19"/>
        <v>0.6</v>
      </c>
      <c r="Q63" s="118">
        <f t="shared" si="19"/>
        <v>0.63636363636363635</v>
      </c>
      <c r="R63" s="118">
        <f t="shared" si="19"/>
        <v>0.66666666666666663</v>
      </c>
    </row>
    <row r="64" spans="1:20" x14ac:dyDescent="0.3">
      <c r="D64" s="117" t="s">
        <v>233</v>
      </c>
      <c r="E64" s="117"/>
      <c r="F64" s="117"/>
      <c r="G64" s="117"/>
      <c r="H64" s="117"/>
      <c r="I64" s="117">
        <f>(I58+H58)/I59</f>
        <v>-425</v>
      </c>
      <c r="J64" s="12">
        <f>I$64</f>
        <v>-425</v>
      </c>
      <c r="K64" s="12">
        <f>-Assumptions!$F$76</f>
        <v>-500</v>
      </c>
      <c r="L64" s="12">
        <f>-Assumptions!$F$76</f>
        <v>-500</v>
      </c>
      <c r="M64" s="12">
        <f>-Assumptions!$F$76</f>
        <v>-500</v>
      </c>
      <c r="N64" s="12">
        <f>-Assumptions!$F$76</f>
        <v>-500</v>
      </c>
      <c r="O64" s="12">
        <f>-Assumptions!$F$76</f>
        <v>-500</v>
      </c>
      <c r="P64" s="12">
        <f>-Assumptions!$F$76</f>
        <v>-500</v>
      </c>
      <c r="Q64" s="12">
        <f>-Assumptions!$F$76</f>
        <v>-500</v>
      </c>
      <c r="R64" s="12">
        <f>-Assumptions!$F$76</f>
        <v>-500</v>
      </c>
    </row>
    <row r="66" spans="4:20" x14ac:dyDescent="0.3">
      <c r="D66" s="17" t="s">
        <v>174</v>
      </c>
      <c r="G66" s="167">
        <f t="shared" ref="G66:R66" si="20">G67+G68</f>
        <v>-268</v>
      </c>
      <c r="H66" s="167">
        <f t="shared" si="20"/>
        <v>-376</v>
      </c>
      <c r="I66" s="167">
        <f t="shared" si="20"/>
        <v>-1500</v>
      </c>
      <c r="J66" s="167">
        <f t="shared" si="20"/>
        <v>-500</v>
      </c>
      <c r="K66" s="167">
        <f t="shared" si="20"/>
        <v>-500</v>
      </c>
      <c r="L66" s="167">
        <f t="shared" si="20"/>
        <v>-800</v>
      </c>
      <c r="M66" s="167">
        <f t="shared" si="20"/>
        <v>-800</v>
      </c>
      <c r="N66" s="167">
        <f t="shared" si="20"/>
        <v>-800</v>
      </c>
      <c r="O66" s="167">
        <f t="shared" si="20"/>
        <v>-1000</v>
      </c>
      <c r="P66" s="167">
        <f t="shared" si="20"/>
        <v>-1000</v>
      </c>
      <c r="Q66" s="167">
        <f t="shared" si="20"/>
        <v>-1000</v>
      </c>
      <c r="R66" s="167">
        <f t="shared" si="20"/>
        <v>-1000</v>
      </c>
    </row>
    <row r="67" spans="4:20" x14ac:dyDescent="0.3">
      <c r="D67" s="12" t="s">
        <v>234</v>
      </c>
      <c r="E67" s="12" t="s">
        <v>21</v>
      </c>
      <c r="G67" s="12">
        <v>-268</v>
      </c>
      <c r="H67" s="12">
        <v>-376</v>
      </c>
      <c r="I67" s="12">
        <v>-400</v>
      </c>
      <c r="J67" s="12">
        <v>-500</v>
      </c>
      <c r="K67" s="12">
        <f>J67</f>
        <v>-500</v>
      </c>
      <c r="L67" s="12">
        <v>-800</v>
      </c>
      <c r="M67" s="12">
        <f>L67</f>
        <v>-800</v>
      </c>
      <c r="N67" s="12">
        <f>M67</f>
        <v>-800</v>
      </c>
      <c r="O67" s="12">
        <v>-1000</v>
      </c>
      <c r="P67" s="12">
        <f>O67</f>
        <v>-1000</v>
      </c>
      <c r="Q67" s="12">
        <f>P67</f>
        <v>-1000</v>
      </c>
      <c r="R67" s="12">
        <f>Q67</f>
        <v>-1000</v>
      </c>
      <c r="T67" t="s">
        <v>235</v>
      </c>
    </row>
    <row r="68" spans="4:20" x14ac:dyDescent="0.3">
      <c r="D68" s="12" t="s">
        <v>176</v>
      </c>
      <c r="E68" s="12" t="s">
        <v>21</v>
      </c>
      <c r="I68" s="12">
        <v>-1100</v>
      </c>
    </row>
    <row r="70" spans="4:20" x14ac:dyDescent="0.3">
      <c r="D70" s="17" t="s">
        <v>178</v>
      </c>
      <c r="G70" s="167">
        <f t="shared" ref="G70:R70" si="21">SUM(G71:G77)</f>
        <v>-180</v>
      </c>
      <c r="H70" s="167">
        <f t="shared" si="21"/>
        <v>-1390</v>
      </c>
      <c r="I70" s="167">
        <f t="shared" si="21"/>
        <v>-1561</v>
      </c>
      <c r="J70" s="167">
        <f t="shared" si="21"/>
        <v>-730</v>
      </c>
      <c r="K70" s="167">
        <f t="shared" si="21"/>
        <v>-430</v>
      </c>
      <c r="L70" s="167">
        <f t="shared" si="21"/>
        <v>-1030</v>
      </c>
      <c r="M70" s="167">
        <f t="shared" si="21"/>
        <v>-1680</v>
      </c>
      <c r="N70" s="167">
        <f t="shared" si="21"/>
        <v>-430</v>
      </c>
      <c r="O70" s="167">
        <f t="shared" si="21"/>
        <v>-430</v>
      </c>
      <c r="P70" s="167">
        <f t="shared" si="21"/>
        <v>-430</v>
      </c>
      <c r="Q70" s="167">
        <f t="shared" si="21"/>
        <v>-180</v>
      </c>
      <c r="R70" s="167">
        <f t="shared" si="21"/>
        <v>-180</v>
      </c>
    </row>
    <row r="71" spans="4:20" x14ac:dyDescent="0.3">
      <c r="D71" s="18" t="s">
        <v>179</v>
      </c>
      <c r="E71" s="12" t="s">
        <v>21</v>
      </c>
      <c r="I71" s="12">
        <v>0</v>
      </c>
      <c r="J71" s="12">
        <v>-300</v>
      </c>
    </row>
    <row r="72" spans="4:20" x14ac:dyDescent="0.3">
      <c r="D72" s="18" t="s">
        <v>181</v>
      </c>
      <c r="E72" s="12" t="s">
        <v>21</v>
      </c>
      <c r="H72" s="12">
        <v>-225</v>
      </c>
    </row>
    <row r="73" spans="4:20" x14ac:dyDescent="0.3">
      <c r="D73" s="18" t="s">
        <v>182</v>
      </c>
      <c r="E73" s="12" t="s">
        <v>21</v>
      </c>
      <c r="H73" s="12">
        <v>-295.2</v>
      </c>
      <c r="I73" s="12">
        <v>-1231</v>
      </c>
      <c r="J73" s="12">
        <v>-250</v>
      </c>
      <c r="K73" s="12">
        <v>-250</v>
      </c>
      <c r="L73" s="12">
        <v>-250</v>
      </c>
      <c r="M73" s="12">
        <v>-1500</v>
      </c>
      <c r="N73" s="12">
        <v>-250</v>
      </c>
      <c r="O73" s="12">
        <v>-250</v>
      </c>
      <c r="P73" s="12">
        <v>-250</v>
      </c>
    </row>
    <row r="74" spans="4:20" x14ac:dyDescent="0.3">
      <c r="D74" s="18" t="s">
        <v>236</v>
      </c>
      <c r="E74" s="12" t="s">
        <v>21</v>
      </c>
      <c r="G74" s="12">
        <f>-720/4</f>
        <v>-180</v>
      </c>
      <c r="H74" s="12">
        <f>-720/4</f>
        <v>-180</v>
      </c>
      <c r="I74" s="12">
        <f>-720/4</f>
        <v>-180</v>
      </c>
      <c r="J74" s="12">
        <f>-720/4</f>
        <v>-180</v>
      </c>
      <c r="K74" s="12">
        <f t="shared" ref="K74:R74" si="22">J74</f>
        <v>-180</v>
      </c>
      <c r="L74" s="12">
        <f t="shared" si="22"/>
        <v>-180</v>
      </c>
      <c r="M74" s="12">
        <f t="shared" si="22"/>
        <v>-180</v>
      </c>
      <c r="N74" s="12">
        <f t="shared" si="22"/>
        <v>-180</v>
      </c>
      <c r="O74" s="12">
        <f t="shared" si="22"/>
        <v>-180</v>
      </c>
      <c r="P74" s="12">
        <f t="shared" si="22"/>
        <v>-180</v>
      </c>
      <c r="Q74" s="12">
        <f t="shared" si="22"/>
        <v>-180</v>
      </c>
      <c r="R74" s="12">
        <f t="shared" si="22"/>
        <v>-180</v>
      </c>
    </row>
    <row r="75" spans="4:20" x14ac:dyDescent="0.3">
      <c r="D75" s="18" t="s">
        <v>237</v>
      </c>
      <c r="E75" s="12" t="s">
        <v>21</v>
      </c>
      <c r="H75" s="12">
        <v>-492</v>
      </c>
      <c r="I75" s="12">
        <v>-150</v>
      </c>
      <c r="J75" s="12">
        <v>0</v>
      </c>
      <c r="K75" s="12">
        <v>0</v>
      </c>
      <c r="L75" s="12">
        <v>-600</v>
      </c>
      <c r="M75" s="12">
        <v>0</v>
      </c>
      <c r="N75" s="12">
        <v>0</v>
      </c>
      <c r="O75" s="12">
        <v>0</v>
      </c>
      <c r="P75" s="12">
        <v>0</v>
      </c>
      <c r="Q75" s="12">
        <v>0</v>
      </c>
      <c r="R75" s="12">
        <v>0</v>
      </c>
    </row>
    <row r="76" spans="4:20" x14ac:dyDescent="0.3">
      <c r="D76" s="18" t="s">
        <v>238</v>
      </c>
      <c r="E76" s="12" t="s">
        <v>21</v>
      </c>
      <c r="H76" s="12">
        <v>-132</v>
      </c>
    </row>
    <row r="77" spans="4:20" x14ac:dyDescent="0.3">
      <c r="D77" s="18" t="s">
        <v>239</v>
      </c>
      <c r="E77" s="12" t="s">
        <v>21</v>
      </c>
      <c r="H77" s="12">
        <v>-65.8</v>
      </c>
    </row>
    <row r="79" spans="4:20" x14ac:dyDescent="0.3">
      <c r="D79" s="17" t="s">
        <v>240</v>
      </c>
      <c r="I79" s="168">
        <f t="shared" ref="I79:R79" si="23">SUM(I80:I81)</f>
        <v>-482.43038999999999</v>
      </c>
      <c r="J79" s="168">
        <f t="shared" si="23"/>
        <v>-482.43038999999999</v>
      </c>
      <c r="K79" s="168">
        <f t="shared" si="23"/>
        <v>-482.43038999999999</v>
      </c>
      <c r="L79" s="168">
        <f t="shared" si="23"/>
        <v>-482.43038999999999</v>
      </c>
      <c r="M79" s="168">
        <f t="shared" si="23"/>
        <v>-482.43038999999999</v>
      </c>
      <c r="N79" s="168">
        <f t="shared" si="23"/>
        <v>-482.43038999999999</v>
      </c>
      <c r="O79" s="169">
        <f t="shared" si="23"/>
        <v>-1720.189359359649</v>
      </c>
      <c r="P79" s="170">
        <f t="shared" si="23"/>
        <v>-1720.189359359649</v>
      </c>
      <c r="Q79" s="170">
        <f t="shared" si="23"/>
        <v>-1720.189359359649</v>
      </c>
      <c r="R79" s="170">
        <f t="shared" si="23"/>
        <v>-1720.189359359649</v>
      </c>
    </row>
    <row r="80" spans="4:20" x14ac:dyDescent="0.3">
      <c r="D80" s="18" t="s">
        <v>241</v>
      </c>
      <c r="E80" s="12" t="s">
        <v>21</v>
      </c>
      <c r="I80" s="152"/>
      <c r="J80" s="152"/>
      <c r="K80" s="152"/>
      <c r="L80" s="152"/>
      <c r="M80" s="152"/>
      <c r="N80" s="152"/>
      <c r="O80" s="153">
        <v>0</v>
      </c>
      <c r="P80" s="153">
        <v>0</v>
      </c>
      <c r="Q80" s="153">
        <v>0</v>
      </c>
      <c r="R80" s="153">
        <v>0</v>
      </c>
      <c r="T80" t="s">
        <v>242</v>
      </c>
    </row>
    <row r="81" spans="4:20" x14ac:dyDescent="0.3">
      <c r="D81" s="12" t="s">
        <v>243</v>
      </c>
      <c r="E81" s="12" t="s">
        <v>21</v>
      </c>
      <c r="I81" s="157">
        <f>SUMIF('Tax &amp; Founder income'!$F$5:$H$5,I$8,'Tax &amp; Founder income'!$F$28:$H$28)/COUNTIF($I$8:$R$8,I$8)</f>
        <v>-482.43038999999999</v>
      </c>
      <c r="J81" s="157">
        <f>SUMIF('Tax &amp; Founder income'!$F$5:$H$5,J$8,'Tax &amp; Founder income'!$F$28:$H$28)/COUNTIF($I$8:$R$8,J$8)</f>
        <v>-482.43038999999999</v>
      </c>
      <c r="K81" s="154">
        <f>SUMIF('Tax &amp; Founder income'!$F$5:$H$5,K$8,'Tax &amp; Founder income'!$F$28:$H$28)/COUNTIF($I$8:$R$8,K$8)</f>
        <v>-482.43038999999999</v>
      </c>
      <c r="L81" s="154">
        <f>SUMIF('Tax &amp; Founder income'!$F$5:$H$5,L$8,'Tax &amp; Founder income'!$F$28:$H$28)/COUNTIF($I$8:$R$8,L$8)</f>
        <v>-482.43038999999999</v>
      </c>
      <c r="M81" s="154">
        <f>SUMIF('Tax &amp; Founder income'!$F$5:$H$5,M$8,'Tax &amp; Founder income'!$F$28:$H$28)/COUNTIF($I$8:$R$8,M$8)</f>
        <v>-482.43038999999999</v>
      </c>
      <c r="N81" s="154">
        <f>SUMIF('Tax &amp; Founder income'!$F$5:$H$5,N$8,'Tax &amp; Founder income'!$F$28:$H$28)/COUNTIF($I$8:$R$8,N$8)</f>
        <v>-482.43038999999999</v>
      </c>
      <c r="O81" s="154">
        <f>SUMIF('Tax &amp; Founder income'!$F$5:$H$5,O$8,'Tax &amp; Founder income'!$F$28:$H$28)/COUNTIF($I$8:$R$8,O$8)</f>
        <v>-1720.189359359649</v>
      </c>
      <c r="P81" s="154">
        <f>SUMIF('Tax &amp; Founder income'!$F$5:$H$5,P$8,'Tax &amp; Founder income'!$F$28:$H$28)/COUNTIF($I$8:$R$8,P$8)</f>
        <v>-1720.189359359649</v>
      </c>
      <c r="Q81" s="154">
        <f>SUMIF('Tax &amp; Founder income'!$F$5:$H$5,Q$8,'Tax &amp; Founder income'!$F$28:$H$28)/COUNTIF($I$8:$R$8,Q$8)</f>
        <v>-1720.189359359649</v>
      </c>
      <c r="R81" s="154">
        <f>SUMIF('Tax &amp; Founder income'!$F$5:$H$5,R$8,'Tax &amp; Founder income'!$F$28:$H$28)/COUNTIF($I$8:$R$8,R$8)</f>
        <v>-1720.189359359649</v>
      </c>
    </row>
    <row r="82" spans="4:20" x14ac:dyDescent="0.3">
      <c r="I82" s="157"/>
      <c r="J82" s="154"/>
      <c r="K82" s="154"/>
      <c r="L82" s="154"/>
      <c r="M82" s="154"/>
      <c r="N82" s="154"/>
      <c r="O82" s="154"/>
      <c r="P82" s="154"/>
      <c r="Q82" s="154"/>
      <c r="R82" s="154"/>
    </row>
    <row r="83" spans="4:20" x14ac:dyDescent="0.3">
      <c r="D83" s="17"/>
      <c r="O83" s="74"/>
    </row>
    <row r="84" spans="4:20" x14ac:dyDescent="0.3">
      <c r="D84" s="17" t="s">
        <v>166</v>
      </c>
      <c r="E84" t="s">
        <v>21</v>
      </c>
      <c r="G84" s="163">
        <f>-Marketing!G37</f>
        <v>0</v>
      </c>
      <c r="H84" s="163">
        <f>-Marketing!H37</f>
        <v>0</v>
      </c>
      <c r="I84" s="163">
        <f>-Marketing!I37</f>
        <v>-150</v>
      </c>
      <c r="J84" s="163">
        <f>-Marketing!J37</f>
        <v>-1663.9175257731958</v>
      </c>
      <c r="K84" s="163">
        <f>-Marketing!K37</f>
        <v>-2742.9166666666665</v>
      </c>
      <c r="L84" s="163">
        <f>-Marketing!L37</f>
        <v>-3756.6666666666665</v>
      </c>
      <c r="M84" s="163">
        <f>-Marketing!M37</f>
        <v>-4786.8421052631584</v>
      </c>
      <c r="N84" s="163">
        <f>-Marketing!N37</f>
        <v>-5804.2105263157891</v>
      </c>
      <c r="O84" s="163">
        <f>-Marketing!O37</f>
        <v>-6939.1489361702124</v>
      </c>
      <c r="P84" s="163">
        <f>-Marketing!P37</f>
        <v>-7963.4042553191493</v>
      </c>
      <c r="Q84" s="163">
        <f>-Marketing!Q37</f>
        <v>-9022.0430107526881</v>
      </c>
      <c r="R84" s="163">
        <f>-Marketing!R37</f>
        <v>-10051.397849462366</v>
      </c>
      <c r="T84" t="s">
        <v>244</v>
      </c>
    </row>
    <row r="85" spans="4:20" x14ac:dyDescent="0.3">
      <c r="D85" s="18"/>
      <c r="E85" s="66"/>
      <c r="F85" s="66"/>
      <c r="G85" s="66"/>
      <c r="H85" s="66"/>
      <c r="I85" s="66"/>
      <c r="J85" s="66"/>
      <c r="K85" s="66"/>
      <c r="L85" s="66"/>
      <c r="M85" s="66"/>
      <c r="N85" s="66"/>
      <c r="O85" s="56"/>
    </row>
    <row r="86" spans="4:20" x14ac:dyDescent="0.3">
      <c r="D86" s="18"/>
      <c r="E86" s="66"/>
      <c r="F86" s="66"/>
      <c r="G86" s="66"/>
      <c r="H86" s="66"/>
      <c r="I86" s="66"/>
      <c r="J86" s="66"/>
      <c r="K86" s="66"/>
      <c r="L86" s="66"/>
      <c r="M86" s="66"/>
      <c r="N86" s="66"/>
      <c r="O86" s="56"/>
    </row>
    <row r="87" spans="4:20" x14ac:dyDescent="0.3">
      <c r="D87" s="17"/>
    </row>
    <row r="88" spans="4:20" x14ac:dyDescent="0.3">
      <c r="D88" s="17"/>
      <c r="O88" s="35"/>
    </row>
    <row r="89" spans="4:20" x14ac:dyDescent="0.3">
      <c r="D89" s="18"/>
      <c r="O89" s="69"/>
    </row>
    <row r="90" spans="4:20" x14ac:dyDescent="0.3">
      <c r="D90" s="18"/>
      <c r="O90" s="49"/>
    </row>
    <row r="91" spans="4:20" x14ac:dyDescent="0.3">
      <c r="D91" s="17"/>
    </row>
    <row r="92" spans="4:20" x14ac:dyDescent="0.3">
      <c r="D92" s="17" t="s">
        <v>186</v>
      </c>
      <c r="G92" s="166">
        <f t="shared" ref="G92:R92" si="24">G49+G58+G66+G70+G79+G84</f>
        <v>-448</v>
      </c>
      <c r="H92" s="166">
        <f t="shared" si="24"/>
        <v>-4766</v>
      </c>
      <c r="I92" s="166">
        <f t="shared" si="24"/>
        <v>-4093.43039</v>
      </c>
      <c r="J92" s="166">
        <f t="shared" si="24"/>
        <v>-4481.1793590721645</v>
      </c>
      <c r="K92" s="166">
        <f t="shared" si="24"/>
        <v>-5876.608056666666</v>
      </c>
      <c r="L92" s="166">
        <f t="shared" si="24"/>
        <v>-8874.9803899999988</v>
      </c>
      <c r="M92" s="166">
        <f t="shared" si="24"/>
        <v>-11172.046343383459</v>
      </c>
      <c r="N92" s="166">
        <f t="shared" si="24"/>
        <v>-11642.838571226261</v>
      </c>
      <c r="O92" s="166">
        <f t="shared" si="24"/>
        <v>-15123.106660187072</v>
      </c>
      <c r="P92" s="166">
        <f t="shared" si="24"/>
        <v>-16919.051617515677</v>
      </c>
      <c r="Q92" s="166">
        <f t="shared" si="24"/>
        <v>-18543.940728655325</v>
      </c>
      <c r="R92" s="166">
        <f t="shared" si="24"/>
        <v>-20320.72302579994</v>
      </c>
    </row>
    <row r="93" spans="4:20" x14ac:dyDescent="0.3">
      <c r="D93" s="18"/>
      <c r="O93" s="36"/>
    </row>
    <row r="94" spans="4:20" x14ac:dyDescent="0.3">
      <c r="D94" s="12" t="s">
        <v>187</v>
      </c>
      <c r="I94" s="34">
        <v>0.05</v>
      </c>
      <c r="J94" s="116">
        <f t="shared" ref="J94:R94" si="25">I94</f>
        <v>0.05</v>
      </c>
      <c r="K94" s="116">
        <f t="shared" si="25"/>
        <v>0.05</v>
      </c>
      <c r="L94" s="116">
        <f t="shared" si="25"/>
        <v>0.05</v>
      </c>
      <c r="M94" s="116">
        <f t="shared" si="25"/>
        <v>0.05</v>
      </c>
      <c r="N94" s="116">
        <f t="shared" si="25"/>
        <v>0.05</v>
      </c>
      <c r="O94" s="116">
        <f t="shared" si="25"/>
        <v>0.05</v>
      </c>
      <c r="P94" s="116">
        <f t="shared" si="25"/>
        <v>0.05</v>
      </c>
      <c r="Q94" s="116">
        <f t="shared" si="25"/>
        <v>0.05</v>
      </c>
      <c r="R94" s="116">
        <f t="shared" si="25"/>
        <v>0.05</v>
      </c>
    </row>
    <row r="95" spans="4:20" x14ac:dyDescent="0.3">
      <c r="D95" s="17" t="s">
        <v>188</v>
      </c>
      <c r="I95" s="171">
        <f t="shared" ref="I95:R95" si="26">I94*I92</f>
        <v>-204.67151950000002</v>
      </c>
      <c r="J95" s="171">
        <f t="shared" si="26"/>
        <v>-224.05896795360823</v>
      </c>
      <c r="K95" s="171">
        <f t="shared" si="26"/>
        <v>-293.83040283333332</v>
      </c>
      <c r="L95" s="171">
        <f t="shared" si="26"/>
        <v>-443.74901949999997</v>
      </c>
      <c r="M95" s="171">
        <f t="shared" si="26"/>
        <v>-558.60231716917303</v>
      </c>
      <c r="N95" s="171">
        <f t="shared" si="26"/>
        <v>-582.14192856131308</v>
      </c>
      <c r="O95" s="171">
        <f t="shared" si="26"/>
        <v>-756.15533300935363</v>
      </c>
      <c r="P95" s="171">
        <f t="shared" si="26"/>
        <v>-845.95258087578395</v>
      </c>
      <c r="Q95" s="171">
        <f t="shared" si="26"/>
        <v>-927.19703643276625</v>
      </c>
      <c r="R95" s="171">
        <f t="shared" si="26"/>
        <v>-1016.0361512899971</v>
      </c>
    </row>
    <row r="96" spans="4:20" x14ac:dyDescent="0.3">
      <c r="D96" s="17"/>
      <c r="O96" s="35"/>
    </row>
    <row r="97" spans="2:18" x14ac:dyDescent="0.3">
      <c r="D97" s="23" t="s">
        <v>189</v>
      </c>
      <c r="I97" s="171">
        <f t="shared" ref="I97:R97" si="27">I92+I95</f>
        <v>-4298.1019095000001</v>
      </c>
      <c r="J97" s="171">
        <f t="shared" si="27"/>
        <v>-4705.2383270257724</v>
      </c>
      <c r="K97" s="171">
        <f t="shared" si="27"/>
        <v>-6170.4384594999992</v>
      </c>
      <c r="L97" s="171">
        <f t="shared" si="27"/>
        <v>-9318.7294094999979</v>
      </c>
      <c r="M97" s="171">
        <f t="shared" si="27"/>
        <v>-11730.648660552632</v>
      </c>
      <c r="N97" s="171">
        <f t="shared" si="27"/>
        <v>-12224.980499787574</v>
      </c>
      <c r="O97" s="171">
        <f t="shared" si="27"/>
        <v>-15879.261993196425</v>
      </c>
      <c r="P97" s="171">
        <f t="shared" si="27"/>
        <v>-17765.00419839146</v>
      </c>
      <c r="Q97" s="171">
        <f t="shared" si="27"/>
        <v>-19471.13776508809</v>
      </c>
      <c r="R97" s="171">
        <f t="shared" si="27"/>
        <v>-21336.759177089938</v>
      </c>
    </row>
    <row r="98" spans="2:18" x14ac:dyDescent="0.3">
      <c r="D98" s="18"/>
      <c r="O98" s="36"/>
    </row>
    <row r="100" spans="2:18" x14ac:dyDescent="0.3">
      <c r="B100" s="15">
        <v>3</v>
      </c>
      <c r="D100" s="16" t="s">
        <v>190</v>
      </c>
      <c r="I100" s="35">
        <f t="shared" ref="I100:R100" si="28">I102</f>
        <v>0</v>
      </c>
      <c r="J100" s="35">
        <f t="shared" si="28"/>
        <v>0</v>
      </c>
      <c r="K100" s="35">
        <f t="shared" si="28"/>
        <v>0</v>
      </c>
      <c r="L100" s="35">
        <f t="shared" si="28"/>
        <v>0</v>
      </c>
      <c r="M100" s="35">
        <f t="shared" si="28"/>
        <v>0</v>
      </c>
      <c r="N100" s="35">
        <f t="shared" si="28"/>
        <v>0</v>
      </c>
      <c r="O100" s="35">
        <f t="shared" si="28"/>
        <v>0</v>
      </c>
      <c r="P100" s="35">
        <f t="shared" si="28"/>
        <v>0</v>
      </c>
      <c r="Q100" s="35">
        <f t="shared" si="28"/>
        <v>0</v>
      </c>
      <c r="R100" s="35">
        <f t="shared" si="28"/>
        <v>0</v>
      </c>
    </row>
    <row r="101" spans="2:18" x14ac:dyDescent="0.3">
      <c r="D101" s="17"/>
      <c r="O101" s="36"/>
    </row>
    <row r="102" spans="2:18" x14ac:dyDescent="0.3">
      <c r="D102" s="18" t="s">
        <v>191</v>
      </c>
      <c r="I102" s="54">
        <v>0</v>
      </c>
      <c r="J102" s="54">
        <f t="shared" ref="J102:R102" si="29">I102</f>
        <v>0</v>
      </c>
      <c r="K102" s="54">
        <f t="shared" si="29"/>
        <v>0</v>
      </c>
      <c r="L102" s="54">
        <f t="shared" si="29"/>
        <v>0</v>
      </c>
      <c r="M102" s="54">
        <f t="shared" si="29"/>
        <v>0</v>
      </c>
      <c r="N102" s="54">
        <f t="shared" si="29"/>
        <v>0</v>
      </c>
      <c r="O102" s="54">
        <f t="shared" si="29"/>
        <v>0</v>
      </c>
      <c r="P102" s="54">
        <f t="shared" si="29"/>
        <v>0</v>
      </c>
      <c r="Q102" s="54">
        <f t="shared" si="29"/>
        <v>0</v>
      </c>
      <c r="R102" s="54">
        <f t="shared" si="29"/>
        <v>0</v>
      </c>
    </row>
    <row r="103" spans="2:18" x14ac:dyDescent="0.3">
      <c r="D103" s="17"/>
      <c r="O103" s="36"/>
    </row>
    <row r="104" spans="2:18" x14ac:dyDescent="0.3">
      <c r="B104" s="15">
        <v>4</v>
      </c>
      <c r="D104" s="16" t="s">
        <v>193</v>
      </c>
    </row>
    <row r="106" spans="2:18" x14ac:dyDescent="0.3">
      <c r="D106" s="17" t="s">
        <v>194</v>
      </c>
      <c r="E106" s="17"/>
      <c r="F106" s="17"/>
      <c r="G106" s="172">
        <f t="shared" ref="G106:R106" si="30">G11+G49</f>
        <v>0</v>
      </c>
      <c r="H106" s="172">
        <f t="shared" si="30"/>
        <v>0</v>
      </c>
      <c r="I106" s="172">
        <f t="shared" si="30"/>
        <v>0</v>
      </c>
      <c r="J106" s="172">
        <f t="shared" si="30"/>
        <v>2240.684020618557</v>
      </c>
      <c r="K106" s="172">
        <f t="shared" si="30"/>
        <v>4032.2390000000009</v>
      </c>
      <c r="L106" s="172">
        <f t="shared" si="30"/>
        <v>5936.1166666666677</v>
      </c>
      <c r="M106" s="172">
        <f t="shared" si="30"/>
        <v>7809.36159047619</v>
      </c>
      <c r="N106" s="172">
        <f t="shared" si="30"/>
        <v>10006.86579236752</v>
      </c>
      <c r="O106" s="172">
        <f t="shared" si="30"/>
        <v>13109.894578605203</v>
      </c>
      <c r="P106" s="172">
        <f t="shared" si="30"/>
        <v>15645.923557446808</v>
      </c>
      <c r="Q106" s="172">
        <f t="shared" si="30"/>
        <v>18435.162065905235</v>
      </c>
      <c r="R106" s="172">
        <f t="shared" si="30"/>
        <v>21071.571574080368</v>
      </c>
    </row>
    <row r="107" spans="2:18" x14ac:dyDescent="0.3">
      <c r="D107" s="12" t="s">
        <v>195</v>
      </c>
      <c r="G107" s="116" t="str">
        <f t="shared" ref="G107:R107" si="31">IFERROR(G106/G11,"")</f>
        <v/>
      </c>
      <c r="H107" s="116" t="str">
        <f t="shared" si="31"/>
        <v/>
      </c>
      <c r="I107" s="116" t="str">
        <f t="shared" si="31"/>
        <v/>
      </c>
      <c r="J107" s="116">
        <f t="shared" si="31"/>
        <v>0.76722210455716766</v>
      </c>
      <c r="K107" s="116">
        <f t="shared" si="31"/>
        <v>0.76753383458646618</v>
      </c>
      <c r="L107" s="116">
        <f t="shared" si="31"/>
        <v>0.76674201326100067</v>
      </c>
      <c r="M107" s="116">
        <f t="shared" si="31"/>
        <v>0.76321913811056574</v>
      </c>
      <c r="N107" s="116">
        <f t="shared" si="31"/>
        <v>0.76195975390963189</v>
      </c>
      <c r="O107" s="116">
        <f t="shared" si="31"/>
        <v>0.76470790530546962</v>
      </c>
      <c r="P107" s="116">
        <f t="shared" si="31"/>
        <v>0.76503015267344987</v>
      </c>
      <c r="Q107" s="116">
        <f t="shared" si="31"/>
        <v>0.76631588983287591</v>
      </c>
      <c r="R107" s="116">
        <f t="shared" si="31"/>
        <v>0.76789461998150443</v>
      </c>
    </row>
    <row r="108" spans="2:18" x14ac:dyDescent="0.3">
      <c r="D108" s="17" t="s">
        <v>196</v>
      </c>
      <c r="E108" s="17"/>
      <c r="F108" s="17"/>
      <c r="G108" s="166">
        <f t="shared" ref="G108:R108" si="32">G97+G11</f>
        <v>0</v>
      </c>
      <c r="H108" s="166">
        <f t="shared" si="32"/>
        <v>0</v>
      </c>
      <c r="I108" s="166">
        <f t="shared" si="32"/>
        <v>-4298.1019095000001</v>
      </c>
      <c r="J108" s="166">
        <f t="shared" si="32"/>
        <v>-1784.7228631082467</v>
      </c>
      <c r="K108" s="166">
        <f t="shared" si="32"/>
        <v>-916.93845949999832</v>
      </c>
      <c r="L108" s="166">
        <f t="shared" si="32"/>
        <v>-1576.729409499997</v>
      </c>
      <c r="M108" s="166">
        <f t="shared" si="32"/>
        <v>-1498.5132219561401</v>
      </c>
      <c r="N108" s="166">
        <f t="shared" si="32"/>
        <v>908.0829474904167</v>
      </c>
      <c r="O108" s="166">
        <f t="shared" si="32"/>
        <v>1264.4009500659886</v>
      </c>
      <c r="P108" s="166">
        <f t="shared" si="32"/>
        <v>2686.3773618922278</v>
      </c>
      <c r="Q108" s="166">
        <f t="shared" si="32"/>
        <v>4585.7326593601319</v>
      </c>
      <c r="R108" s="166">
        <f t="shared" si="32"/>
        <v>6103.9482139683569</v>
      </c>
    </row>
    <row r="109" spans="2:18" x14ac:dyDescent="0.3">
      <c r="D109" s="12" t="s">
        <v>197</v>
      </c>
      <c r="G109" s="34" t="str">
        <f t="shared" ref="G109:R109" si="33">IFERROR(G108/G11,"")</f>
        <v/>
      </c>
      <c r="H109" s="116" t="str">
        <f t="shared" si="33"/>
        <v/>
      </c>
      <c r="I109" s="116" t="str">
        <f t="shared" si="33"/>
        <v/>
      </c>
      <c r="J109" s="116">
        <f t="shared" si="33"/>
        <v>-0.61109858350630075</v>
      </c>
      <c r="K109" s="116">
        <f t="shared" si="33"/>
        <v>-0.17453858560959326</v>
      </c>
      <c r="L109" s="116">
        <f t="shared" si="33"/>
        <v>-0.20365918490054208</v>
      </c>
      <c r="M109" s="116">
        <f t="shared" si="33"/>
        <v>-0.14645166015919023</v>
      </c>
      <c r="N109" s="116">
        <f t="shared" si="33"/>
        <v>6.91447925410449E-2</v>
      </c>
      <c r="O109" s="116">
        <f t="shared" si="33"/>
        <v>7.3753255313673063E-2</v>
      </c>
      <c r="P109" s="116">
        <f t="shared" si="33"/>
        <v>0.13135432215049653</v>
      </c>
      <c r="Q109" s="116">
        <f t="shared" si="33"/>
        <v>0.19062049960994926</v>
      </c>
      <c r="R109" s="116">
        <f t="shared" si="33"/>
        <v>0.22244135790600508</v>
      </c>
    </row>
  </sheetData>
  <dataValidations disablePrompts="1" count="1">
    <dataValidation type="list" allowBlank="1" showInputMessage="1" showErrorMessage="1" errorTitle="Invalid provider" error="Choose Printsmarter or Elanders." sqref="F6:H6" xr:uid="{00000000-0002-0000-0200-000000000000}">
      <formula1>"Printsmarter,Elanders"</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4"/>
  <sheetViews>
    <sheetView topLeftCell="A11" zoomScale="83" zoomScaleNormal="83" workbookViewId="0">
      <selection activeCell="D33" sqref="D33"/>
    </sheetView>
  </sheetViews>
  <sheetFormatPr defaultRowHeight="14.4" x14ac:dyDescent="0.3"/>
  <cols>
    <col min="2" max="2" width="4.33203125" customWidth="1"/>
    <col min="3" max="3" width="1.6640625" customWidth="1"/>
    <col min="4" max="4" width="36.109375" customWidth="1"/>
    <col min="7" max="16" width="12.5546875" customWidth="1"/>
  </cols>
  <sheetData>
    <row r="1" spans="1:20" x14ac:dyDescent="0.3">
      <c r="A1" s="12"/>
      <c r="B1" s="12"/>
      <c r="C1" s="12"/>
      <c r="D1" s="12"/>
      <c r="E1" s="12"/>
      <c r="F1" s="12"/>
      <c r="G1" s="12"/>
      <c r="H1" s="12"/>
      <c r="I1" s="12"/>
      <c r="J1" s="12"/>
      <c r="K1" s="12"/>
      <c r="L1" s="12"/>
      <c r="M1" s="12"/>
    </row>
    <row r="2" spans="1:20" x14ac:dyDescent="0.3">
      <c r="A2" s="39"/>
      <c r="B2" s="44"/>
      <c r="C2" s="41"/>
      <c r="D2" s="173" t="s">
        <v>0</v>
      </c>
      <c r="E2" s="42"/>
      <c r="F2" s="42"/>
      <c r="G2" s="42"/>
      <c r="H2" s="42"/>
      <c r="I2" s="42"/>
      <c r="J2" s="42"/>
      <c r="K2" s="42"/>
      <c r="L2" s="42"/>
      <c r="M2" s="42"/>
      <c r="N2" s="42"/>
      <c r="O2" s="42"/>
      <c r="P2" s="42"/>
      <c r="Q2" s="42"/>
      <c r="R2" s="42"/>
    </row>
    <row r="3" spans="1:20" x14ac:dyDescent="0.3">
      <c r="A3" s="39"/>
      <c r="B3" s="44"/>
      <c r="C3" s="41"/>
      <c r="D3" s="72"/>
      <c r="E3" s="42"/>
      <c r="F3" s="42"/>
      <c r="G3" s="42"/>
      <c r="H3" s="42"/>
      <c r="I3" s="42"/>
      <c r="J3" s="42"/>
      <c r="K3" s="42"/>
      <c r="L3" s="42"/>
      <c r="M3" s="42"/>
      <c r="N3" s="42"/>
      <c r="O3" s="42"/>
      <c r="P3" s="42"/>
      <c r="Q3" s="42"/>
      <c r="R3" s="42"/>
    </row>
    <row r="4" spans="1:20" ht="15.6" customHeight="1" x14ac:dyDescent="0.3">
      <c r="A4" s="39"/>
      <c r="B4" s="44"/>
      <c r="C4" s="41"/>
      <c r="D4" s="47" t="s">
        <v>1</v>
      </c>
      <c r="E4" s="42"/>
      <c r="F4" s="42"/>
      <c r="G4" s="42"/>
      <c r="H4" s="42"/>
      <c r="I4" s="42"/>
      <c r="J4" s="42"/>
      <c r="K4" s="42"/>
      <c r="L4" s="42"/>
      <c r="M4" s="42"/>
      <c r="N4" s="42"/>
      <c r="O4" s="42"/>
      <c r="P4" s="42"/>
      <c r="Q4" s="42"/>
      <c r="R4" s="42"/>
    </row>
    <row r="5" spans="1:20" ht="15.6" customHeight="1" x14ac:dyDescent="0.3">
      <c r="A5" s="39"/>
      <c r="B5" s="44"/>
      <c r="C5" s="41"/>
      <c r="D5" s="48"/>
      <c r="E5" s="42"/>
      <c r="F5" s="42"/>
      <c r="G5" s="42"/>
      <c r="H5" s="42"/>
      <c r="I5" s="42"/>
      <c r="J5" s="42"/>
      <c r="K5" s="42"/>
      <c r="L5" s="42"/>
      <c r="M5" s="42"/>
      <c r="N5" s="42"/>
      <c r="O5" s="42"/>
      <c r="P5" s="42"/>
      <c r="Q5" s="42"/>
      <c r="R5" s="42"/>
    </row>
    <row r="8" spans="1:20" x14ac:dyDescent="0.3">
      <c r="D8" t="s">
        <v>2</v>
      </c>
      <c r="G8" s="174">
        <v>2026</v>
      </c>
      <c r="H8" s="174">
        <v>2026</v>
      </c>
      <c r="I8" s="174">
        <v>2026</v>
      </c>
      <c r="J8" s="174">
        <v>2026</v>
      </c>
      <c r="K8" s="174">
        <v>2027</v>
      </c>
      <c r="L8" s="174">
        <v>2027</v>
      </c>
      <c r="M8" s="174">
        <v>2027</v>
      </c>
      <c r="N8" s="174">
        <v>2027</v>
      </c>
      <c r="O8" s="174">
        <v>2028</v>
      </c>
      <c r="P8" s="174">
        <v>2028</v>
      </c>
      <c r="Q8" s="174">
        <v>2028</v>
      </c>
      <c r="R8" s="174">
        <v>2028</v>
      </c>
    </row>
    <row r="9" spans="1:20" x14ac:dyDescent="0.3">
      <c r="B9" s="8" t="s">
        <v>3</v>
      </c>
      <c r="D9" s="8" t="s">
        <v>4</v>
      </c>
      <c r="E9" s="8" t="s">
        <v>5</v>
      </c>
      <c r="F9" s="8"/>
      <c r="G9" s="179" t="s">
        <v>6</v>
      </c>
      <c r="H9" s="179" t="s">
        <v>7</v>
      </c>
      <c r="I9" s="179" t="s">
        <v>8</v>
      </c>
      <c r="J9" s="179" t="s">
        <v>9</v>
      </c>
      <c r="K9" s="179" t="s">
        <v>10</v>
      </c>
      <c r="L9" s="179" t="s">
        <v>11</v>
      </c>
      <c r="M9" s="179" t="s">
        <v>12</v>
      </c>
      <c r="N9" s="179" t="s">
        <v>13</v>
      </c>
      <c r="O9" s="179" t="s">
        <v>14</v>
      </c>
      <c r="P9" s="179" t="s">
        <v>15</v>
      </c>
      <c r="Q9" s="179" t="s">
        <v>16</v>
      </c>
      <c r="R9" s="179" t="s">
        <v>17</v>
      </c>
      <c r="T9" t="s">
        <v>18</v>
      </c>
    </row>
    <row r="11" spans="1:20" x14ac:dyDescent="0.3">
      <c r="B11" s="15">
        <v>1</v>
      </c>
      <c r="D11" s="16" t="s">
        <v>19</v>
      </c>
    </row>
    <row r="12" spans="1:20" x14ac:dyDescent="0.3">
      <c r="D12" t="s">
        <v>20</v>
      </c>
      <c r="E12" t="s">
        <v>21</v>
      </c>
      <c r="G12" s="175">
        <v>0</v>
      </c>
      <c r="H12" s="175">
        <v>0</v>
      </c>
      <c r="I12" s="175">
        <v>0</v>
      </c>
      <c r="J12" s="175">
        <v>1500</v>
      </c>
      <c r="K12" s="175">
        <f>J12+1000</f>
        <v>2500</v>
      </c>
      <c r="L12" s="175">
        <f t="shared" ref="L12:R12" si="0">K12+1000</f>
        <v>3500</v>
      </c>
      <c r="M12" s="175">
        <f t="shared" si="0"/>
        <v>4500</v>
      </c>
      <c r="N12" s="175">
        <f t="shared" si="0"/>
        <v>5500</v>
      </c>
      <c r="O12" s="175">
        <f t="shared" si="0"/>
        <v>6500</v>
      </c>
      <c r="P12" s="175">
        <f t="shared" si="0"/>
        <v>7500</v>
      </c>
      <c r="Q12" s="175">
        <f t="shared" si="0"/>
        <v>8500</v>
      </c>
      <c r="R12" s="175">
        <f t="shared" si="0"/>
        <v>9500</v>
      </c>
      <c r="T12" t="s">
        <v>22</v>
      </c>
    </row>
    <row r="13" spans="1:20" x14ac:dyDescent="0.3">
      <c r="D13" t="s">
        <v>23</v>
      </c>
      <c r="E13" t="s">
        <v>21</v>
      </c>
      <c r="G13" s="176">
        <v>0.85</v>
      </c>
      <c r="H13" s="177">
        <v>0.85</v>
      </c>
      <c r="I13" s="177">
        <v>0.85</v>
      </c>
      <c r="J13" s="177">
        <v>0.85</v>
      </c>
      <c r="K13" s="177">
        <v>0.85</v>
      </c>
      <c r="L13" s="177">
        <v>0.85</v>
      </c>
      <c r="M13" s="177">
        <v>0.85</v>
      </c>
      <c r="N13" s="177">
        <v>0.85</v>
      </c>
      <c r="O13" s="177">
        <v>0.85</v>
      </c>
      <c r="P13" s="177">
        <v>0.85</v>
      </c>
      <c r="Q13" s="177">
        <v>0.85</v>
      </c>
      <c r="R13" s="177">
        <v>0.85</v>
      </c>
      <c r="T13" t="s">
        <v>24</v>
      </c>
    </row>
    <row r="14" spans="1:20" x14ac:dyDescent="0.3">
      <c r="D14" t="s">
        <v>25</v>
      </c>
      <c r="E14" t="s">
        <v>26</v>
      </c>
      <c r="G14" s="178">
        <v>0.02</v>
      </c>
      <c r="H14" s="178">
        <v>0.02</v>
      </c>
      <c r="I14" s="178">
        <v>0.02</v>
      </c>
      <c r="J14" s="178">
        <v>0.02</v>
      </c>
      <c r="K14" s="178">
        <v>0.02</v>
      </c>
      <c r="L14" s="178">
        <v>0.02</v>
      </c>
      <c r="M14" s="178">
        <v>0.02</v>
      </c>
      <c r="N14" s="178">
        <v>0.02</v>
      </c>
      <c r="O14" s="178">
        <v>0.02</v>
      </c>
      <c r="P14" s="178">
        <v>0.02</v>
      </c>
      <c r="Q14" s="178">
        <v>0.02</v>
      </c>
      <c r="R14" s="178">
        <v>0.02</v>
      </c>
      <c r="T14" t="s">
        <v>27</v>
      </c>
    </row>
    <row r="15" spans="1:20" x14ac:dyDescent="0.3">
      <c r="D15" s="24" t="s">
        <v>28</v>
      </c>
      <c r="E15" t="s">
        <v>21</v>
      </c>
      <c r="G15" s="4"/>
      <c r="T15" s="24" t="s">
        <v>29</v>
      </c>
    </row>
    <row r="16" spans="1:20" x14ac:dyDescent="0.3">
      <c r="D16" t="s">
        <v>30</v>
      </c>
      <c r="E16" t="s">
        <v>21</v>
      </c>
      <c r="G16" s="106">
        <f t="shared" ref="G16:R16" si="1">IF(G14&gt;0,G13/G14,0)</f>
        <v>42.5</v>
      </c>
      <c r="H16" s="106">
        <f t="shared" si="1"/>
        <v>42.5</v>
      </c>
      <c r="I16" s="106">
        <f t="shared" si="1"/>
        <v>42.5</v>
      </c>
      <c r="J16" s="106">
        <f t="shared" si="1"/>
        <v>42.5</v>
      </c>
      <c r="K16" s="106">
        <f t="shared" si="1"/>
        <v>42.5</v>
      </c>
      <c r="L16" s="106">
        <f t="shared" si="1"/>
        <v>42.5</v>
      </c>
      <c r="M16" s="106">
        <f t="shared" si="1"/>
        <v>42.5</v>
      </c>
      <c r="N16" s="106">
        <f t="shared" si="1"/>
        <v>42.5</v>
      </c>
      <c r="O16" s="106">
        <f t="shared" si="1"/>
        <v>42.5</v>
      </c>
      <c r="P16" s="106">
        <f t="shared" si="1"/>
        <v>42.5</v>
      </c>
      <c r="Q16" s="106">
        <f t="shared" si="1"/>
        <v>42.5</v>
      </c>
      <c r="R16" s="106">
        <f t="shared" si="1"/>
        <v>42.5</v>
      </c>
    </row>
    <row r="17" spans="2:20" x14ac:dyDescent="0.3">
      <c r="D17" t="s">
        <v>31</v>
      </c>
      <c r="E17" t="s">
        <v>21</v>
      </c>
      <c r="G17" s="106">
        <f t="shared" ref="G17:R17" si="2">IF(G15&lt;&gt;"",G15,G16)</f>
        <v>42.5</v>
      </c>
      <c r="H17" s="106">
        <f t="shared" si="2"/>
        <v>42.5</v>
      </c>
      <c r="I17" s="106">
        <f t="shared" si="2"/>
        <v>42.5</v>
      </c>
      <c r="J17" s="106">
        <f t="shared" si="2"/>
        <v>42.5</v>
      </c>
      <c r="K17" s="106">
        <f t="shared" si="2"/>
        <v>42.5</v>
      </c>
      <c r="L17" s="106">
        <f t="shared" si="2"/>
        <v>42.5</v>
      </c>
      <c r="M17" s="106">
        <f t="shared" si="2"/>
        <v>42.5</v>
      </c>
      <c r="N17" s="106">
        <f t="shared" si="2"/>
        <v>42.5</v>
      </c>
      <c r="O17" s="106">
        <f t="shared" si="2"/>
        <v>42.5</v>
      </c>
      <c r="P17" s="106">
        <f t="shared" si="2"/>
        <v>42.5</v>
      </c>
      <c r="Q17" s="106">
        <f t="shared" si="2"/>
        <v>42.5</v>
      </c>
      <c r="R17" s="106">
        <f t="shared" si="2"/>
        <v>42.5</v>
      </c>
    </row>
    <row r="18" spans="2:20" x14ac:dyDescent="0.3">
      <c r="D18" s="105" t="s">
        <v>32</v>
      </c>
      <c r="E18" t="s">
        <v>33</v>
      </c>
      <c r="G18" s="175">
        <f t="shared" ref="G18:R18" si="3">IF(G17&gt;0,ROUND(G12/G17,0),0)</f>
        <v>0</v>
      </c>
      <c r="H18" s="175">
        <f t="shared" si="3"/>
        <v>0</v>
      </c>
      <c r="I18" s="175">
        <f t="shared" si="3"/>
        <v>0</v>
      </c>
      <c r="J18" s="175">
        <f t="shared" si="3"/>
        <v>35</v>
      </c>
      <c r="K18" s="175">
        <f t="shared" si="3"/>
        <v>59</v>
      </c>
      <c r="L18" s="175">
        <f t="shared" si="3"/>
        <v>82</v>
      </c>
      <c r="M18" s="175">
        <f t="shared" si="3"/>
        <v>106</v>
      </c>
      <c r="N18" s="175">
        <f t="shared" si="3"/>
        <v>129</v>
      </c>
      <c r="O18" s="175">
        <f t="shared" si="3"/>
        <v>153</v>
      </c>
      <c r="P18" s="175">
        <f t="shared" si="3"/>
        <v>176</v>
      </c>
      <c r="Q18" s="175">
        <f t="shared" si="3"/>
        <v>200</v>
      </c>
      <c r="R18" s="175">
        <f t="shared" si="3"/>
        <v>224</v>
      </c>
    </row>
    <row r="20" spans="2:20" x14ac:dyDescent="0.3">
      <c r="B20" s="15">
        <v>2</v>
      </c>
      <c r="D20" s="16" t="s">
        <v>34</v>
      </c>
    </row>
    <row r="21" spans="2:20" x14ac:dyDescent="0.3">
      <c r="D21" t="s">
        <v>35</v>
      </c>
      <c r="E21" t="s">
        <v>33</v>
      </c>
      <c r="G21" s="183">
        <v>0</v>
      </c>
      <c r="H21" s="183">
        <v>0</v>
      </c>
      <c r="I21" s="183">
        <v>5</v>
      </c>
      <c r="J21" s="183">
        <v>10</v>
      </c>
      <c r="K21" s="183">
        <v>20</v>
      </c>
      <c r="L21" s="183">
        <v>30</v>
      </c>
      <c r="M21" s="183">
        <v>40</v>
      </c>
      <c r="N21" s="183">
        <v>50</v>
      </c>
      <c r="O21" s="183">
        <v>65</v>
      </c>
      <c r="P21" s="183">
        <v>80</v>
      </c>
      <c r="Q21" s="183">
        <v>95</v>
      </c>
      <c r="R21" s="183">
        <v>110</v>
      </c>
      <c r="T21" t="s">
        <v>224</v>
      </c>
    </row>
    <row r="22" spans="2:20" x14ac:dyDescent="0.3">
      <c r="D22" t="s">
        <v>36</v>
      </c>
      <c r="E22" t="s">
        <v>37</v>
      </c>
      <c r="G22" s="175">
        <f t="shared" ref="G22:R22" si="4">G52</f>
        <v>0</v>
      </c>
      <c r="H22" s="175">
        <f t="shared" si="4"/>
        <v>0</v>
      </c>
      <c r="I22" s="175">
        <f t="shared" si="4"/>
        <v>50</v>
      </c>
      <c r="J22" s="175">
        <f t="shared" si="4"/>
        <v>50</v>
      </c>
      <c r="K22" s="175">
        <f t="shared" si="4"/>
        <v>70</v>
      </c>
      <c r="L22" s="175">
        <f t="shared" si="4"/>
        <v>70</v>
      </c>
      <c r="M22" s="175">
        <f t="shared" si="4"/>
        <v>70</v>
      </c>
      <c r="N22" s="175">
        <f t="shared" si="4"/>
        <v>70</v>
      </c>
      <c r="O22" s="175">
        <f t="shared" si="4"/>
        <v>100</v>
      </c>
      <c r="P22" s="175">
        <f t="shared" si="4"/>
        <v>100</v>
      </c>
      <c r="Q22" s="175">
        <f t="shared" si="4"/>
        <v>100</v>
      </c>
      <c r="R22" s="175">
        <f t="shared" si="4"/>
        <v>100</v>
      </c>
    </row>
    <row r="24" spans="2:20" x14ac:dyDescent="0.3">
      <c r="B24" s="15">
        <v>3</v>
      </c>
      <c r="D24" s="16" t="s">
        <v>38</v>
      </c>
    </row>
    <row r="25" spans="2:20" x14ac:dyDescent="0.3">
      <c r="D25" t="s">
        <v>39</v>
      </c>
      <c r="E25" t="s">
        <v>26</v>
      </c>
      <c r="G25" s="178">
        <v>0</v>
      </c>
      <c r="H25" s="178">
        <v>0</v>
      </c>
      <c r="I25" s="178">
        <v>0</v>
      </c>
      <c r="J25" s="178">
        <v>0.03</v>
      </c>
      <c r="K25" s="178">
        <v>0.04</v>
      </c>
      <c r="L25" s="178">
        <v>0.04</v>
      </c>
      <c r="M25" s="178">
        <v>0.05</v>
      </c>
      <c r="N25" s="178">
        <v>0.05</v>
      </c>
      <c r="O25" s="178">
        <v>0.06</v>
      </c>
      <c r="P25" s="178">
        <v>0.06</v>
      </c>
      <c r="Q25" s="178">
        <v>7.0000000000000007E-2</v>
      </c>
      <c r="R25" s="178">
        <v>7.0000000000000007E-2</v>
      </c>
      <c r="T25" t="s">
        <v>40</v>
      </c>
    </row>
    <row r="26" spans="2:20" x14ac:dyDescent="0.3">
      <c r="D26" t="s">
        <v>41</v>
      </c>
      <c r="E26" t="s">
        <v>21</v>
      </c>
      <c r="G26" s="175">
        <v>10</v>
      </c>
      <c r="H26" s="180">
        <f t="shared" ref="H26:R26" si="5">G26</f>
        <v>10</v>
      </c>
      <c r="I26" s="180">
        <f t="shared" si="5"/>
        <v>10</v>
      </c>
      <c r="J26" s="180">
        <f t="shared" si="5"/>
        <v>10</v>
      </c>
      <c r="K26" s="180">
        <f t="shared" si="5"/>
        <v>10</v>
      </c>
      <c r="L26" s="180">
        <f t="shared" si="5"/>
        <v>10</v>
      </c>
      <c r="M26" s="180">
        <f t="shared" si="5"/>
        <v>10</v>
      </c>
      <c r="N26" s="180">
        <f t="shared" si="5"/>
        <v>10</v>
      </c>
      <c r="O26" s="180">
        <f t="shared" si="5"/>
        <v>10</v>
      </c>
      <c r="P26" s="180">
        <f t="shared" si="5"/>
        <v>10</v>
      </c>
      <c r="Q26" s="180">
        <f t="shared" si="5"/>
        <v>10</v>
      </c>
      <c r="R26" s="180">
        <f t="shared" si="5"/>
        <v>10</v>
      </c>
      <c r="T26" t="s">
        <v>42</v>
      </c>
    </row>
    <row r="28" spans="2:20" x14ac:dyDescent="0.3">
      <c r="B28" s="15">
        <v>4</v>
      </c>
      <c r="D28" s="16" t="s">
        <v>43</v>
      </c>
    </row>
    <row r="29" spans="2:20" x14ac:dyDescent="0.3">
      <c r="D29" t="s">
        <v>44</v>
      </c>
      <c r="E29" t="s">
        <v>33</v>
      </c>
      <c r="G29" s="175">
        <f t="shared" ref="G29:R29" si="6">G18</f>
        <v>0</v>
      </c>
      <c r="H29" s="175">
        <f t="shared" si="6"/>
        <v>0</v>
      </c>
      <c r="I29" s="175">
        <f t="shared" si="6"/>
        <v>0</v>
      </c>
      <c r="J29" s="175">
        <f t="shared" si="6"/>
        <v>35</v>
      </c>
      <c r="K29" s="175">
        <f t="shared" si="6"/>
        <v>59</v>
      </c>
      <c r="L29" s="175">
        <f t="shared" si="6"/>
        <v>82</v>
      </c>
      <c r="M29" s="175">
        <f t="shared" si="6"/>
        <v>106</v>
      </c>
      <c r="N29" s="175">
        <f t="shared" si="6"/>
        <v>129</v>
      </c>
      <c r="O29" s="175">
        <f t="shared" si="6"/>
        <v>153</v>
      </c>
      <c r="P29" s="175">
        <f t="shared" si="6"/>
        <v>176</v>
      </c>
      <c r="Q29" s="175">
        <f t="shared" si="6"/>
        <v>200</v>
      </c>
      <c r="R29" s="175">
        <f t="shared" si="6"/>
        <v>224</v>
      </c>
    </row>
    <row r="30" spans="2:20" x14ac:dyDescent="0.3">
      <c r="D30" t="s">
        <v>45</v>
      </c>
      <c r="E30" t="s">
        <v>33</v>
      </c>
      <c r="G30" s="175">
        <f t="shared" ref="G30:R30" si="7">G21</f>
        <v>0</v>
      </c>
      <c r="H30" s="175">
        <f t="shared" si="7"/>
        <v>0</v>
      </c>
      <c r="I30" s="175">
        <f t="shared" si="7"/>
        <v>5</v>
      </c>
      <c r="J30" s="175">
        <f t="shared" si="7"/>
        <v>10</v>
      </c>
      <c r="K30" s="175">
        <f t="shared" si="7"/>
        <v>20</v>
      </c>
      <c r="L30" s="175">
        <f t="shared" si="7"/>
        <v>30</v>
      </c>
      <c r="M30" s="175">
        <f t="shared" si="7"/>
        <v>40</v>
      </c>
      <c r="N30" s="175">
        <f t="shared" si="7"/>
        <v>50</v>
      </c>
      <c r="O30" s="175">
        <f t="shared" si="7"/>
        <v>65</v>
      </c>
      <c r="P30" s="175">
        <f t="shared" si="7"/>
        <v>80</v>
      </c>
      <c r="Q30" s="175">
        <f t="shared" si="7"/>
        <v>95</v>
      </c>
      <c r="R30" s="175">
        <f t="shared" si="7"/>
        <v>110</v>
      </c>
    </row>
    <row r="31" spans="2:20" x14ac:dyDescent="0.3">
      <c r="D31" s="174" t="s">
        <v>46</v>
      </c>
      <c r="E31" t="s">
        <v>33</v>
      </c>
      <c r="G31" s="175">
        <f t="shared" ref="G31:R31" si="8">IFERROR((G29+G30)/(1-G25),G29+G30)</f>
        <v>0</v>
      </c>
      <c r="H31" s="175">
        <f t="shared" si="8"/>
        <v>0</v>
      </c>
      <c r="I31" s="175">
        <f t="shared" si="8"/>
        <v>5</v>
      </c>
      <c r="J31" s="175">
        <f t="shared" si="8"/>
        <v>46.391752577319586</v>
      </c>
      <c r="K31" s="175">
        <f t="shared" si="8"/>
        <v>82.291666666666671</v>
      </c>
      <c r="L31" s="175">
        <f t="shared" si="8"/>
        <v>116.66666666666667</v>
      </c>
      <c r="M31" s="175">
        <f t="shared" si="8"/>
        <v>153.68421052631581</v>
      </c>
      <c r="N31" s="175">
        <f t="shared" si="8"/>
        <v>188.42105263157896</v>
      </c>
      <c r="O31" s="175">
        <f t="shared" si="8"/>
        <v>231.91489361702128</v>
      </c>
      <c r="P31" s="175">
        <f t="shared" si="8"/>
        <v>272.34042553191489</v>
      </c>
      <c r="Q31" s="175">
        <f t="shared" si="8"/>
        <v>317.20430107526886</v>
      </c>
      <c r="R31" s="175">
        <f t="shared" si="8"/>
        <v>359.1397849462366</v>
      </c>
    </row>
    <row r="32" spans="2:20" x14ac:dyDescent="0.3">
      <c r="D32" t="s">
        <v>47</v>
      </c>
      <c r="E32" t="s">
        <v>33</v>
      </c>
      <c r="G32" s="175">
        <f t="shared" ref="G32:R32" si="9">G25*G31</f>
        <v>0</v>
      </c>
      <c r="H32" s="175">
        <f t="shared" si="9"/>
        <v>0</v>
      </c>
      <c r="I32" s="175">
        <f t="shared" si="9"/>
        <v>0</v>
      </c>
      <c r="J32" s="175">
        <f t="shared" si="9"/>
        <v>1.3917525773195876</v>
      </c>
      <c r="K32" s="175">
        <f t="shared" si="9"/>
        <v>3.291666666666667</v>
      </c>
      <c r="L32" s="175">
        <f t="shared" si="9"/>
        <v>4.666666666666667</v>
      </c>
      <c r="M32" s="175">
        <f t="shared" si="9"/>
        <v>7.6842105263157912</v>
      </c>
      <c r="N32" s="175">
        <f t="shared" si="9"/>
        <v>9.4210526315789487</v>
      </c>
      <c r="O32" s="175">
        <f t="shared" si="9"/>
        <v>13.914893617021276</v>
      </c>
      <c r="P32" s="175">
        <f t="shared" si="9"/>
        <v>16.340425531914892</v>
      </c>
      <c r="Q32" s="175">
        <f t="shared" si="9"/>
        <v>22.204301075268823</v>
      </c>
      <c r="R32" s="175">
        <f t="shared" si="9"/>
        <v>25.139784946236563</v>
      </c>
    </row>
    <row r="33" spans="4:20" x14ac:dyDescent="0.3">
      <c r="D33" s="174" t="s">
        <v>48</v>
      </c>
      <c r="E33" t="s">
        <v>49</v>
      </c>
      <c r="G33" s="177">
        <f t="shared" ref="G33:R33" si="10">(G31+G34)/90</f>
        <v>0</v>
      </c>
      <c r="H33" s="177">
        <f t="shared" si="10"/>
        <v>0</v>
      </c>
      <c r="I33" s="177">
        <f t="shared" si="10"/>
        <v>5.5555555555555552E-2</v>
      </c>
      <c r="J33" s="177">
        <f t="shared" si="10"/>
        <v>0.51546391752577314</v>
      </c>
      <c r="K33" s="177">
        <f t="shared" si="10"/>
        <v>0.91435185185185186</v>
      </c>
      <c r="L33" s="177">
        <f t="shared" si="10"/>
        <v>1.2962962962962963</v>
      </c>
      <c r="M33" s="177">
        <f t="shared" si="10"/>
        <v>1.718713450292398</v>
      </c>
      <c r="N33" s="177">
        <f t="shared" si="10"/>
        <v>2.196660034967143</v>
      </c>
      <c r="O33" s="177">
        <f t="shared" si="10"/>
        <v>2.759702521670607</v>
      </c>
      <c r="P33" s="177">
        <f t="shared" si="10"/>
        <v>3.2852639873916467</v>
      </c>
      <c r="Q33" s="177">
        <f t="shared" si="10"/>
        <v>3.8660127020059116</v>
      </c>
      <c r="R33" s="177">
        <f t="shared" si="10"/>
        <v>4.409155505250582</v>
      </c>
      <c r="T33" t="s">
        <v>50</v>
      </c>
    </row>
    <row r="34" spans="4:20" x14ac:dyDescent="0.3">
      <c r="D34" t="s">
        <v>51</v>
      </c>
      <c r="E34" t="s">
        <v>33</v>
      </c>
      <c r="G34" s="175">
        <v>0</v>
      </c>
      <c r="H34" s="175">
        <v>0</v>
      </c>
      <c r="I34" s="175">
        <v>0</v>
      </c>
      <c r="J34" s="175">
        <v>0</v>
      </c>
      <c r="K34" s="175">
        <v>0</v>
      </c>
      <c r="L34" s="175">
        <v>0</v>
      </c>
      <c r="M34" s="175">
        <f t="shared" ref="M34:R34" si="11">$F$54*I31</f>
        <v>1</v>
      </c>
      <c r="N34" s="175">
        <f t="shared" si="11"/>
        <v>9.2783505154639183</v>
      </c>
      <c r="O34" s="175">
        <f t="shared" si="11"/>
        <v>16.458333333333336</v>
      </c>
      <c r="P34" s="175">
        <f t="shared" si="11"/>
        <v>23.333333333333336</v>
      </c>
      <c r="Q34" s="175">
        <f t="shared" si="11"/>
        <v>30.736842105263165</v>
      </c>
      <c r="R34" s="175">
        <f t="shared" si="11"/>
        <v>37.684210526315795</v>
      </c>
    </row>
    <row r="35" spans="4:20" x14ac:dyDescent="0.3">
      <c r="D35" t="s">
        <v>52</v>
      </c>
      <c r="E35" t="s">
        <v>21</v>
      </c>
      <c r="G35" s="175">
        <f t="shared" ref="G35:R35" si="12">G12+G32*G26</f>
        <v>0</v>
      </c>
      <c r="H35" s="175">
        <f t="shared" si="12"/>
        <v>0</v>
      </c>
      <c r="I35" s="175">
        <f t="shared" si="12"/>
        <v>0</v>
      </c>
      <c r="J35" s="175">
        <f t="shared" si="12"/>
        <v>1513.9175257731958</v>
      </c>
      <c r="K35" s="175">
        <f t="shared" si="12"/>
        <v>2532.9166666666665</v>
      </c>
      <c r="L35" s="175">
        <f t="shared" si="12"/>
        <v>3546.6666666666665</v>
      </c>
      <c r="M35" s="175">
        <f t="shared" si="12"/>
        <v>4576.8421052631584</v>
      </c>
      <c r="N35" s="175">
        <f t="shared" si="12"/>
        <v>5594.2105263157891</v>
      </c>
      <c r="O35" s="175">
        <f t="shared" si="12"/>
        <v>6639.1489361702124</v>
      </c>
      <c r="P35" s="175">
        <f t="shared" si="12"/>
        <v>7663.4042553191493</v>
      </c>
      <c r="Q35" s="175">
        <f t="shared" si="12"/>
        <v>8722.0430107526881</v>
      </c>
      <c r="R35" s="175">
        <f t="shared" si="12"/>
        <v>9751.3978494623661</v>
      </c>
    </row>
    <row r="36" spans="4:20" x14ac:dyDescent="0.3">
      <c r="D36" t="s">
        <v>53</v>
      </c>
      <c r="E36" t="s">
        <v>21</v>
      </c>
      <c r="G36" s="175">
        <f t="shared" ref="G36:R36" si="13">G22*3</f>
        <v>0</v>
      </c>
      <c r="H36" s="175">
        <f t="shared" si="13"/>
        <v>0</v>
      </c>
      <c r="I36" s="175">
        <f t="shared" si="13"/>
        <v>150</v>
      </c>
      <c r="J36" s="175">
        <f t="shared" si="13"/>
        <v>150</v>
      </c>
      <c r="K36" s="175">
        <f t="shared" si="13"/>
        <v>210</v>
      </c>
      <c r="L36" s="175">
        <f t="shared" si="13"/>
        <v>210</v>
      </c>
      <c r="M36" s="175">
        <f t="shared" si="13"/>
        <v>210</v>
      </c>
      <c r="N36" s="175">
        <f t="shared" si="13"/>
        <v>210</v>
      </c>
      <c r="O36" s="175">
        <f t="shared" si="13"/>
        <v>300</v>
      </c>
      <c r="P36" s="175">
        <f t="shared" si="13"/>
        <v>300</v>
      </c>
      <c r="Q36" s="175">
        <f t="shared" si="13"/>
        <v>300</v>
      </c>
      <c r="R36" s="175">
        <f t="shared" si="13"/>
        <v>300</v>
      </c>
    </row>
    <row r="37" spans="4:20" x14ac:dyDescent="0.3">
      <c r="D37" s="174" t="s">
        <v>54</v>
      </c>
      <c r="E37" t="s">
        <v>21</v>
      </c>
      <c r="G37" s="175">
        <f t="shared" ref="G37:R37" si="14">G35+G36</f>
        <v>0</v>
      </c>
      <c r="H37" s="175">
        <f t="shared" si="14"/>
        <v>0</v>
      </c>
      <c r="I37" s="175">
        <f t="shared" si="14"/>
        <v>150</v>
      </c>
      <c r="J37" s="175">
        <f t="shared" si="14"/>
        <v>1663.9175257731958</v>
      </c>
      <c r="K37" s="175">
        <f t="shared" si="14"/>
        <v>2742.9166666666665</v>
      </c>
      <c r="L37" s="175">
        <f t="shared" si="14"/>
        <v>3756.6666666666665</v>
      </c>
      <c r="M37" s="175">
        <f t="shared" si="14"/>
        <v>4786.8421052631584</v>
      </c>
      <c r="N37" s="175">
        <f t="shared" si="14"/>
        <v>5804.2105263157891</v>
      </c>
      <c r="O37" s="175">
        <f t="shared" si="14"/>
        <v>6939.1489361702124</v>
      </c>
      <c r="P37" s="175">
        <f t="shared" si="14"/>
        <v>7963.4042553191493</v>
      </c>
      <c r="Q37" s="175">
        <f t="shared" si="14"/>
        <v>9022.0430107526881</v>
      </c>
      <c r="R37" s="175">
        <f t="shared" si="14"/>
        <v>10051.397849462366</v>
      </c>
      <c r="T37" t="s">
        <v>55</v>
      </c>
    </row>
    <row r="39" spans="4:20" x14ac:dyDescent="0.3">
      <c r="D39" s="174" t="s">
        <v>56</v>
      </c>
      <c r="E39" t="s">
        <v>21</v>
      </c>
      <c r="G39" s="106">
        <f t="shared" ref="G39:R39" si="15">IF(G31&gt;0,G35/G31,0)</f>
        <v>0</v>
      </c>
      <c r="H39" s="106">
        <f t="shared" si="15"/>
        <v>0</v>
      </c>
      <c r="I39" s="106">
        <f t="shared" si="15"/>
        <v>0</v>
      </c>
      <c r="J39" s="106">
        <f t="shared" si="15"/>
        <v>32.633333333333333</v>
      </c>
      <c r="K39" s="106">
        <f t="shared" si="15"/>
        <v>30.779746835443035</v>
      </c>
      <c r="L39" s="106">
        <f t="shared" si="15"/>
        <v>30.4</v>
      </c>
      <c r="M39" s="106">
        <f t="shared" si="15"/>
        <v>29.780821917808218</v>
      </c>
      <c r="N39" s="106">
        <f t="shared" si="15"/>
        <v>29.689944134078207</v>
      </c>
      <c r="O39" s="106">
        <f t="shared" si="15"/>
        <v>28.627522935779815</v>
      </c>
      <c r="P39" s="106">
        <f t="shared" si="15"/>
        <v>28.139062500000001</v>
      </c>
      <c r="Q39" s="106">
        <f t="shared" si="15"/>
        <v>27.496610169491522</v>
      </c>
      <c r="R39" s="106">
        <f t="shared" si="15"/>
        <v>27.152095808383233</v>
      </c>
      <c r="T39" t="s">
        <v>57</v>
      </c>
    </row>
    <row r="40" spans="4:20" x14ac:dyDescent="0.3">
      <c r="D40" t="s">
        <v>58</v>
      </c>
      <c r="E40" t="s">
        <v>21</v>
      </c>
      <c r="G40" s="106">
        <f t="shared" ref="G40:R40" si="16">IF(G31&gt;0,(G35+G36)/G31,0)</f>
        <v>0</v>
      </c>
      <c r="H40" s="106">
        <f t="shared" si="16"/>
        <v>0</v>
      </c>
      <c r="I40" s="106">
        <f t="shared" si="16"/>
        <v>30</v>
      </c>
      <c r="J40" s="106">
        <f t="shared" si="16"/>
        <v>35.866666666666667</v>
      </c>
      <c r="K40" s="106">
        <f t="shared" si="16"/>
        <v>33.33164556962025</v>
      </c>
      <c r="L40" s="106">
        <f t="shared" si="16"/>
        <v>32.199999999999996</v>
      </c>
      <c r="M40" s="106">
        <f t="shared" si="16"/>
        <v>31.147260273972602</v>
      </c>
      <c r="N40" s="106">
        <f t="shared" si="16"/>
        <v>30.804469273743013</v>
      </c>
      <c r="O40" s="106">
        <f t="shared" si="16"/>
        <v>29.92110091743119</v>
      </c>
      <c r="P40" s="106">
        <f t="shared" si="16"/>
        <v>29.240625000000001</v>
      </c>
      <c r="Q40" s="106">
        <f t="shared" si="16"/>
        <v>28.442372881355929</v>
      </c>
      <c r="R40" s="106">
        <f t="shared" si="16"/>
        <v>27.987425149700599</v>
      </c>
    </row>
    <row r="44" spans="4:20" x14ac:dyDescent="0.3">
      <c r="D44" s="181" t="s">
        <v>59</v>
      </c>
    </row>
    <row r="45" spans="4:20" x14ac:dyDescent="0.3">
      <c r="D45" t="s">
        <v>60</v>
      </c>
      <c r="E45" t="s">
        <v>37</v>
      </c>
      <c r="T45" t="s">
        <v>61</v>
      </c>
    </row>
    <row r="46" spans="4:20" x14ac:dyDescent="0.3">
      <c r="D46" t="s">
        <v>62</v>
      </c>
      <c r="E46" t="s">
        <v>21</v>
      </c>
      <c r="G46" s="175">
        <v>0</v>
      </c>
      <c r="H46" s="175">
        <v>0</v>
      </c>
      <c r="I46" s="175">
        <v>12</v>
      </c>
      <c r="J46" s="175">
        <v>12</v>
      </c>
      <c r="K46" s="175">
        <v>12</v>
      </c>
      <c r="L46" s="175">
        <v>12</v>
      </c>
      <c r="M46" s="175">
        <v>12</v>
      </c>
      <c r="N46" s="175">
        <v>12</v>
      </c>
      <c r="O46" s="175">
        <v>12</v>
      </c>
      <c r="P46" s="175">
        <v>12</v>
      </c>
      <c r="Q46" s="175">
        <v>12</v>
      </c>
      <c r="R46" s="175">
        <v>12</v>
      </c>
      <c r="T46" t="s">
        <v>63</v>
      </c>
    </row>
    <row r="47" spans="4:20" x14ac:dyDescent="0.3">
      <c r="D47" t="s">
        <v>64</v>
      </c>
      <c r="E47" t="s">
        <v>21</v>
      </c>
      <c r="G47" s="175">
        <v>0</v>
      </c>
      <c r="H47" s="175">
        <v>0</v>
      </c>
      <c r="I47" s="175">
        <v>10</v>
      </c>
      <c r="J47" s="175">
        <v>10</v>
      </c>
      <c r="K47" s="175">
        <v>15</v>
      </c>
      <c r="L47" s="175">
        <v>15</v>
      </c>
      <c r="M47" s="175">
        <v>15</v>
      </c>
      <c r="N47" s="175">
        <v>15</v>
      </c>
      <c r="O47" s="175">
        <v>20</v>
      </c>
      <c r="P47" s="175">
        <v>20</v>
      </c>
      <c r="Q47" s="175">
        <v>20</v>
      </c>
      <c r="R47" s="175">
        <v>20</v>
      </c>
      <c r="T47" t="s">
        <v>65</v>
      </c>
    </row>
    <row r="48" spans="4:20" x14ac:dyDescent="0.3">
      <c r="D48" t="s">
        <v>66</v>
      </c>
      <c r="E48" t="s">
        <v>21</v>
      </c>
      <c r="G48" s="175">
        <v>0</v>
      </c>
      <c r="H48" s="175">
        <v>0</v>
      </c>
      <c r="I48" s="175">
        <v>0</v>
      </c>
      <c r="J48" s="175">
        <v>0</v>
      </c>
      <c r="K48" s="175">
        <v>18</v>
      </c>
      <c r="L48" s="175">
        <v>18</v>
      </c>
      <c r="M48" s="175">
        <v>18</v>
      </c>
      <c r="N48" s="175">
        <v>18</v>
      </c>
      <c r="O48" s="175">
        <v>18</v>
      </c>
      <c r="P48" s="175">
        <v>18</v>
      </c>
      <c r="Q48" s="175">
        <v>18</v>
      </c>
      <c r="R48" s="175">
        <v>18</v>
      </c>
      <c r="T48" t="s">
        <v>67</v>
      </c>
    </row>
    <row r="49" spans="4:20" x14ac:dyDescent="0.3">
      <c r="D49" t="s">
        <v>68</v>
      </c>
      <c r="E49" t="s">
        <v>21</v>
      </c>
      <c r="G49" s="175">
        <v>0</v>
      </c>
      <c r="H49" s="175">
        <v>0</v>
      </c>
      <c r="I49" s="175">
        <v>28</v>
      </c>
      <c r="J49" s="175">
        <v>28</v>
      </c>
      <c r="K49" s="175">
        <v>25</v>
      </c>
      <c r="L49" s="175">
        <v>25</v>
      </c>
      <c r="M49" s="175">
        <v>25</v>
      </c>
      <c r="N49" s="175">
        <v>25</v>
      </c>
      <c r="O49" s="175">
        <v>50</v>
      </c>
      <c r="P49" s="175">
        <v>50</v>
      </c>
      <c r="Q49" s="175">
        <v>50</v>
      </c>
      <c r="R49" s="175">
        <v>50</v>
      </c>
      <c r="T49" t="s">
        <v>69</v>
      </c>
    </row>
    <row r="50" spans="4:20" x14ac:dyDescent="0.3">
      <c r="D50" t="s">
        <v>70</v>
      </c>
      <c r="E50" t="s">
        <v>21</v>
      </c>
      <c r="G50" s="175">
        <v>0</v>
      </c>
      <c r="H50" s="175">
        <v>0</v>
      </c>
      <c r="I50" s="175">
        <v>0</v>
      </c>
      <c r="J50" s="175">
        <v>0</v>
      </c>
      <c r="K50" s="175">
        <v>0</v>
      </c>
      <c r="L50" s="175">
        <v>0</v>
      </c>
      <c r="M50" s="175">
        <v>0</v>
      </c>
      <c r="N50" s="175">
        <v>0</v>
      </c>
      <c r="O50" s="175">
        <v>0</v>
      </c>
      <c r="P50" s="175">
        <v>0</v>
      </c>
      <c r="Q50" s="175">
        <v>0</v>
      </c>
      <c r="R50" s="175">
        <v>0</v>
      </c>
      <c r="T50" t="s">
        <v>71</v>
      </c>
    </row>
    <row r="51" spans="4:20" x14ac:dyDescent="0.3">
      <c r="D51" t="s">
        <v>72</v>
      </c>
      <c r="E51" t="s">
        <v>21</v>
      </c>
      <c r="G51" s="175">
        <v>0</v>
      </c>
      <c r="H51" s="175">
        <v>0</v>
      </c>
      <c r="I51" s="175">
        <v>0</v>
      </c>
      <c r="J51" s="175">
        <v>0</v>
      </c>
      <c r="K51" s="175">
        <v>0</v>
      </c>
      <c r="L51" s="175">
        <v>0</v>
      </c>
      <c r="M51" s="175">
        <v>0</v>
      </c>
      <c r="N51" s="175">
        <v>0</v>
      </c>
      <c r="O51" s="175">
        <v>0</v>
      </c>
      <c r="P51" s="175">
        <v>0</v>
      </c>
      <c r="Q51" s="175">
        <v>0</v>
      </c>
      <c r="R51" s="175">
        <v>0</v>
      </c>
      <c r="T51" t="s">
        <v>73</v>
      </c>
    </row>
    <row r="52" spans="4:20" x14ac:dyDescent="0.3">
      <c r="D52" s="181" t="s">
        <v>74</v>
      </c>
      <c r="E52" t="s">
        <v>21</v>
      </c>
      <c r="G52" s="175">
        <f t="shared" ref="G52:R52" si="17">SUM(G46:G51)</f>
        <v>0</v>
      </c>
      <c r="H52" s="175">
        <f t="shared" si="17"/>
        <v>0</v>
      </c>
      <c r="I52" s="175">
        <f t="shared" si="17"/>
        <v>50</v>
      </c>
      <c r="J52" s="175">
        <f t="shared" si="17"/>
        <v>50</v>
      </c>
      <c r="K52" s="175">
        <f t="shared" si="17"/>
        <v>70</v>
      </c>
      <c r="L52" s="175">
        <f t="shared" si="17"/>
        <v>70</v>
      </c>
      <c r="M52" s="175">
        <f t="shared" si="17"/>
        <v>70</v>
      </c>
      <c r="N52" s="175">
        <f t="shared" si="17"/>
        <v>70</v>
      </c>
      <c r="O52" s="175">
        <f t="shared" si="17"/>
        <v>100</v>
      </c>
      <c r="P52" s="175">
        <f t="shared" si="17"/>
        <v>100</v>
      </c>
      <c r="Q52" s="175">
        <f t="shared" si="17"/>
        <v>100</v>
      </c>
      <c r="R52" s="175">
        <f t="shared" si="17"/>
        <v>100</v>
      </c>
    </row>
    <row r="54" spans="4:20" x14ac:dyDescent="0.3">
      <c r="D54" t="s">
        <v>75</v>
      </c>
      <c r="F54">
        <v>0.2</v>
      </c>
      <c r="T54" t="s">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20"/>
  <sheetViews>
    <sheetView zoomScale="69" zoomScaleNormal="69" workbookViewId="0">
      <selection activeCell="C3" sqref="C3"/>
    </sheetView>
  </sheetViews>
  <sheetFormatPr defaultRowHeight="14.4" x14ac:dyDescent="0.3"/>
  <cols>
    <col min="2" max="5" width="36.33203125" customWidth="1"/>
  </cols>
  <sheetData>
    <row r="2" spans="2:5" x14ac:dyDescent="0.3">
      <c r="B2" s="8" t="s">
        <v>4</v>
      </c>
      <c r="C2" s="8">
        <v>2026</v>
      </c>
      <c r="D2" s="8">
        <v>2027</v>
      </c>
      <c r="E2" s="8">
        <v>2028</v>
      </c>
    </row>
    <row r="3" spans="2:5" ht="15.6" customHeight="1" x14ac:dyDescent="0.3">
      <c r="B3" s="87" t="s">
        <v>245</v>
      </c>
      <c r="C3" s="93" t="e">
        <f>SUM(C4:C8)</f>
        <v>#N/A</v>
      </c>
      <c r="D3" s="93" t="e">
        <f>SUM(D4:D8)</f>
        <v>#N/A</v>
      </c>
      <c r="E3" s="93" t="e">
        <f>SUM(E4:E8)</f>
        <v>#N/A</v>
      </c>
    </row>
    <row r="4" spans="2:5" ht="15.6" customHeight="1" x14ac:dyDescent="0.3">
      <c r="B4" s="88" t="s">
        <v>150</v>
      </c>
      <c r="C4" s="91" t="e">
        <f>'Business case - old'!M31</f>
        <v>#N/A</v>
      </c>
      <c r="D4" s="91" t="e">
        <f>'Business case - old'!N31</f>
        <v>#N/A</v>
      </c>
      <c r="E4" s="91" t="e">
        <f>'Business case - old'!O31</f>
        <v>#N/A</v>
      </c>
    </row>
    <row r="5" spans="2:5" ht="15.6" customHeight="1" x14ac:dyDescent="0.3">
      <c r="B5" s="89" t="s">
        <v>151</v>
      </c>
      <c r="C5" s="92" t="e">
        <f>'Business case - old'!M32</f>
        <v>#N/A</v>
      </c>
      <c r="D5" s="92" t="e">
        <f>'Business case - old'!N32</f>
        <v>#N/A</v>
      </c>
      <c r="E5" s="92" t="e">
        <f>'Business case - old'!O32</f>
        <v>#N/A</v>
      </c>
    </row>
    <row r="6" spans="2:5" ht="15.6" customHeight="1" x14ac:dyDescent="0.3">
      <c r="B6" s="89" t="s">
        <v>246</v>
      </c>
      <c r="C6" s="92" t="e">
        <f>'Business case - old'!M33+'Business case - old'!M35</f>
        <v>#N/A</v>
      </c>
      <c r="D6" s="92" t="e">
        <f>'Business case - old'!N33+'Business case - old'!N35</f>
        <v>#N/A</v>
      </c>
      <c r="E6" s="92" t="e">
        <f>'Business case - old'!O33+'Business case - old'!O35</f>
        <v>#N/A</v>
      </c>
    </row>
    <row r="7" spans="2:5" ht="15.6" customHeight="1" x14ac:dyDescent="0.3">
      <c r="B7" s="89" t="s">
        <v>247</v>
      </c>
      <c r="C7" s="92">
        <f>'Business case - old'!M36</f>
        <v>-1800</v>
      </c>
      <c r="D7" s="92">
        <f>'Business case - old'!N36</f>
        <v>-5508</v>
      </c>
      <c r="E7" s="92">
        <f>'Business case - old'!O36</f>
        <v>-9363.6</v>
      </c>
    </row>
    <row r="8" spans="2:5" ht="15.6" customHeight="1" x14ac:dyDescent="0.3">
      <c r="B8" s="89" t="s">
        <v>248</v>
      </c>
      <c r="C8" s="92" t="e">
        <f>'Business case - old'!M37+'Business case - old'!M34</f>
        <v>#N/A</v>
      </c>
      <c r="D8" s="92" t="e">
        <f>'Business case - old'!N37+'Business case - old'!N34</f>
        <v>#N/A</v>
      </c>
      <c r="E8" s="92" t="e">
        <f>'Business case - old'!O37+'Business case - old'!O34</f>
        <v>#N/A</v>
      </c>
    </row>
    <row r="9" spans="2:5" ht="15.6" customHeight="1" x14ac:dyDescent="0.3">
      <c r="B9" s="88" t="s">
        <v>160</v>
      </c>
      <c r="C9" s="91">
        <f>SUM(C10:C12)</f>
        <v>-36504</v>
      </c>
      <c r="D9" s="91">
        <f>SUM(D10:D12)</f>
        <v>-132954</v>
      </c>
      <c r="E9" s="91">
        <f>SUM(E10:E12)</f>
        <v>-132954</v>
      </c>
    </row>
    <row r="10" spans="2:5" ht="15.6" customHeight="1" x14ac:dyDescent="0.3">
      <c r="B10" s="89" t="s">
        <v>249</v>
      </c>
      <c r="C10" s="92">
        <f>'Business case - old'!M40</f>
        <v>-36504</v>
      </c>
      <c r="D10" s="92">
        <f>'Business case - old'!N40</f>
        <v>-36504</v>
      </c>
      <c r="E10" s="92">
        <f>'Business case - old'!O40</f>
        <v>-36504</v>
      </c>
    </row>
    <row r="11" spans="2:5" ht="31.2" customHeight="1" x14ac:dyDescent="0.3">
      <c r="B11" s="89" t="s">
        <v>250</v>
      </c>
      <c r="C11" s="92">
        <f>'Business case - old'!M41</f>
        <v>0</v>
      </c>
      <c r="D11" s="92">
        <f>'Business case - old'!N41</f>
        <v>-60450</v>
      </c>
      <c r="E11" s="92">
        <f>'Business case - old'!O41</f>
        <v>-60450</v>
      </c>
    </row>
    <row r="12" spans="2:5" ht="15.6" customHeight="1" x14ac:dyDescent="0.3">
      <c r="B12" s="89" t="s">
        <v>251</v>
      </c>
      <c r="C12" s="92">
        <f>'Business case - old'!M42</f>
        <v>0</v>
      </c>
      <c r="D12" s="92">
        <f>'Business case - old'!N42</f>
        <v>-36000</v>
      </c>
      <c r="E12" s="92">
        <f>'Business case - old'!O42</f>
        <v>-36000</v>
      </c>
    </row>
    <row r="13" spans="2:5" ht="15.6" customHeight="1" x14ac:dyDescent="0.3">
      <c r="B13" s="88" t="s">
        <v>252</v>
      </c>
      <c r="C13" s="94">
        <f>'Business case - old'!M44</f>
        <v>-5891.76</v>
      </c>
      <c r="D13" s="94">
        <f>'Business case - old'!N44</f>
        <v>-18064.771199999999</v>
      </c>
      <c r="E13" s="94">
        <f>'Business case - old'!O44</f>
        <v>-21539.900592000002</v>
      </c>
    </row>
    <row r="14" spans="2:5" ht="31.2" customHeight="1" x14ac:dyDescent="0.3">
      <c r="B14" s="88" t="s">
        <v>253</v>
      </c>
      <c r="C14" s="94">
        <f>'Business case - old'!M49</f>
        <v>-8000</v>
      </c>
      <c r="D14" s="94">
        <f>'Business case - old'!N49</f>
        <v>-8000</v>
      </c>
      <c r="E14" s="94">
        <f>'Business case - old'!O49</f>
        <v>-8000</v>
      </c>
    </row>
    <row r="15" spans="2:5" ht="15.6" customHeight="1" x14ac:dyDescent="0.3">
      <c r="B15" s="88" t="s">
        <v>254</v>
      </c>
      <c r="C15" s="91">
        <f>'Business case - old'!M53</f>
        <v>-500</v>
      </c>
      <c r="D15" s="91">
        <f>'Business case - old'!N53</f>
        <v>-500</v>
      </c>
      <c r="E15" s="91">
        <f>'Business case - old'!O53</f>
        <v>-500</v>
      </c>
    </row>
    <row r="16" spans="2:5" ht="15.6" customHeight="1" x14ac:dyDescent="0.3">
      <c r="B16" s="88" t="s">
        <v>178</v>
      </c>
      <c r="C16" s="91">
        <f>SUM(C17:C19)</f>
        <v>-2350</v>
      </c>
      <c r="D16" s="91">
        <f>SUM(D17:D19)</f>
        <v>-1800</v>
      </c>
      <c r="E16" s="91">
        <f>SUM(E17:E19)</f>
        <v>-1800</v>
      </c>
    </row>
    <row r="17" spans="2:5" ht="15.6" customHeight="1" x14ac:dyDescent="0.3">
      <c r="B17" s="90" t="s">
        <v>179</v>
      </c>
      <c r="C17" s="95">
        <f>'Business case - old'!M58</f>
        <v>-300</v>
      </c>
      <c r="D17" s="95">
        <f>'Business case - old'!N58</f>
        <v>0</v>
      </c>
      <c r="E17" s="95">
        <f>'Business case - old'!O58</f>
        <v>0</v>
      </c>
    </row>
    <row r="18" spans="2:5" ht="15.6" customHeight="1" x14ac:dyDescent="0.3">
      <c r="B18" s="90" t="s">
        <v>181</v>
      </c>
      <c r="C18" s="95">
        <f>'Business case - old'!M59</f>
        <v>-250</v>
      </c>
      <c r="D18" s="95">
        <f>'Business case - old'!N59</f>
        <v>0</v>
      </c>
      <c r="E18" s="95">
        <f>'Business case - old'!O59</f>
        <v>0</v>
      </c>
    </row>
    <row r="19" spans="2:5" ht="15.6" customHeight="1" x14ac:dyDescent="0.3">
      <c r="B19" s="90" t="s">
        <v>182</v>
      </c>
      <c r="C19" s="95">
        <f>'Business case - old'!M60</f>
        <v>-1800</v>
      </c>
      <c r="D19" s="95">
        <f>'Business case - old'!N60</f>
        <v>-1800</v>
      </c>
      <c r="E19" s="95">
        <f>'Business case - old'!O60</f>
        <v>-1800</v>
      </c>
    </row>
    <row r="20" spans="2:5" ht="15.6" customHeight="1" x14ac:dyDescent="0.3">
      <c r="B20" s="88" t="s">
        <v>255</v>
      </c>
      <c r="C20" s="96" t="e">
        <f>'Business case - old'!M69</f>
        <v>#N/A</v>
      </c>
      <c r="D20" s="96" t="e">
        <f>'Business case - old'!N69</f>
        <v>#N/A</v>
      </c>
      <c r="E20" s="96" t="e">
        <f>'Business case - old'!O69</f>
        <v>#N/A</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56"/>
  <sheetViews>
    <sheetView topLeftCell="A27" workbookViewId="0">
      <selection activeCell="K43" sqref="K43"/>
    </sheetView>
  </sheetViews>
  <sheetFormatPr defaultRowHeight="14.4" x14ac:dyDescent="0.3"/>
  <cols>
    <col min="1" max="1" width="3.6640625" customWidth="1"/>
    <col min="2" max="2" width="6.44140625" customWidth="1"/>
    <col min="3" max="3" width="2.77734375" customWidth="1"/>
    <col min="4" max="4" width="46.33203125" customWidth="1"/>
    <col min="5" max="5" width="13" customWidth="1"/>
    <col min="6" max="8" width="17.5546875" customWidth="1"/>
  </cols>
  <sheetData>
    <row r="2" spans="2:8" ht="18" customHeight="1" x14ac:dyDescent="0.35">
      <c r="B2" s="128" t="s">
        <v>256</v>
      </c>
    </row>
    <row r="3" spans="2:8" x14ac:dyDescent="0.3">
      <c r="D3" s="129" t="s">
        <v>257</v>
      </c>
    </row>
    <row r="5" spans="2:8" x14ac:dyDescent="0.3">
      <c r="D5" s="142" t="s">
        <v>4</v>
      </c>
      <c r="E5" s="142" t="s">
        <v>5</v>
      </c>
      <c r="F5" s="143">
        <v>2026</v>
      </c>
      <c r="G5" s="143">
        <v>2027</v>
      </c>
      <c r="H5" s="143">
        <v>2028</v>
      </c>
    </row>
    <row r="6" spans="2:8" x14ac:dyDescent="0.3">
      <c r="D6" s="130" t="s">
        <v>258</v>
      </c>
    </row>
    <row r="8" spans="2:8" ht="15.6" customHeight="1" x14ac:dyDescent="0.3">
      <c r="D8" s="131" t="s">
        <v>259</v>
      </c>
    </row>
    <row r="9" spans="2:8" x14ac:dyDescent="0.3">
      <c r="D9" t="s">
        <v>148</v>
      </c>
      <c r="E9" t="s">
        <v>21</v>
      </c>
      <c r="F9" s="132">
        <f>SUMIF('Business case - Quarterly view'!$I$8:$R$8,F$5,'Business case - Quarterly view'!$I$38:$R$38)</f>
        <v>2920.5154639175257</v>
      </c>
      <c r="G9" s="132">
        <f>SUMIF('Business case - Quarterly view'!$I$8:$R$8,G$5,'Business case - Quarterly view'!$I$38:$R$38)</f>
        <v>36360.698885874488</v>
      </c>
      <c r="H9" s="132">
        <f>SUMIF('Business case - Quarterly view'!$I$8:$R$8,H$5,'Business case - Quarterly view'!$I$38:$R$38)</f>
        <v>89092.622319052622</v>
      </c>
    </row>
    <row r="10" spans="2:8" x14ac:dyDescent="0.3">
      <c r="D10" t="s">
        <v>150</v>
      </c>
      <c r="E10" t="s">
        <v>21</v>
      </c>
      <c r="F10" s="132">
        <f>SUMIF('Business case - Quarterly view'!$I$8:$R$8,F$5,'Business case - Quarterly view'!$I$49:$R$49)</f>
        <v>-679.83144329896891</v>
      </c>
      <c r="G10" s="132">
        <f>SUMIF('Business case - Quarterly view'!$I$8:$R$8,G$5,'Business case - Quarterly view'!$I$49:$R$49)</f>
        <v>-8576.115836364108</v>
      </c>
      <c r="H10" s="132">
        <f>SUMIF('Business case - Quarterly view'!$I$8:$R$8,H$5,'Business case - Quarterly view'!$I$49:$R$49)</f>
        <v>-20830.070543015005</v>
      </c>
    </row>
    <row r="11" spans="2:8" x14ac:dyDescent="0.3">
      <c r="D11" t="s">
        <v>227</v>
      </c>
      <c r="E11" t="s">
        <v>21</v>
      </c>
      <c r="F11" s="132">
        <f>SUMIF('Business case - Quarterly view'!$I$8:$R$8,F$5,'Business case - Quarterly view'!$I$58:$R$58)</f>
        <v>-825</v>
      </c>
      <c r="G11" s="132">
        <f>SUMIF('Business case - Quarterly view'!$I$8:$R$8,G$5,'Business case - Quarterly view'!$I$58:$R$58)</f>
        <v>-3500</v>
      </c>
      <c r="H11" s="132">
        <f>SUMIF('Business case - Quarterly view'!$I$8:$R$8,H$5,'Business case - Quarterly view'!$I$58:$R$58)</f>
        <v>-4000</v>
      </c>
    </row>
    <row r="12" spans="2:8" x14ac:dyDescent="0.3">
      <c r="D12" t="s">
        <v>174</v>
      </c>
      <c r="E12" t="s">
        <v>21</v>
      </c>
      <c r="F12" s="132">
        <f>SUMIF('Business case - Quarterly view'!$I$8:$R$8,F$5,'Business case - Quarterly view'!$I$66:$R$66)</f>
        <v>-2000</v>
      </c>
      <c r="G12" s="132">
        <f>SUMIF('Business case - Quarterly view'!$I$8:$R$8,G$5,'Business case - Quarterly view'!$I$66:$R$66)</f>
        <v>-2900</v>
      </c>
      <c r="H12" s="132">
        <f>SUMIF('Business case - Quarterly view'!$I$8:$R$8,H$5,'Business case - Quarterly view'!$I$66:$R$66)</f>
        <v>-4000</v>
      </c>
    </row>
    <row r="13" spans="2:8" x14ac:dyDescent="0.3">
      <c r="D13" t="s">
        <v>178</v>
      </c>
      <c r="E13" t="s">
        <v>21</v>
      </c>
      <c r="F13" s="132">
        <f>SUMIF('Business case - Quarterly view'!$I$8:$R$8,F$5,'Business case - Quarterly view'!$I$70:$R$70)</f>
        <v>-2291</v>
      </c>
      <c r="G13" s="132">
        <f>SUMIF('Business case - Quarterly view'!$I$8:$R$8,G$5,'Business case - Quarterly view'!$I$70:$R$70)</f>
        <v>-3570</v>
      </c>
      <c r="H13" s="132">
        <f>SUMIF('Business case - Quarterly view'!$I$8:$R$8,H$5,'Business case - Quarterly view'!$I$70:$R$70)</f>
        <v>-1220</v>
      </c>
    </row>
    <row r="14" spans="2:8" x14ac:dyDescent="0.3">
      <c r="D14" t="s">
        <v>260</v>
      </c>
      <c r="E14" t="s">
        <v>21</v>
      </c>
      <c r="F14" s="132">
        <f>SUMIF('Business case - Quarterly view'!$I$8:$R$8,F$5,'Business case - Quarterly view'!$I$80:$R$80)</f>
        <v>0</v>
      </c>
      <c r="G14" s="132">
        <f>SUMIF('Business case - Quarterly view'!$I$8:$R$8,G$5,'Business case - Quarterly view'!$I$80:$R$80)</f>
        <v>0</v>
      </c>
      <c r="H14" s="132">
        <f>SUMIF('Business case - Quarterly view'!$I$8:$R$8,H$5,'Business case - Quarterly view'!$I$80:$R$80)</f>
        <v>0</v>
      </c>
    </row>
    <row r="15" spans="2:8" x14ac:dyDescent="0.3">
      <c r="D15" t="s">
        <v>166</v>
      </c>
      <c r="E15" t="s">
        <v>21</v>
      </c>
      <c r="F15" s="151">
        <f>SUMIF('Business case - Quarterly view'!$I$8:$R$8,F$5,'Business case - Quarterly view'!$I$84:$R$84)</f>
        <v>-1813.9175257731958</v>
      </c>
      <c r="G15" s="151">
        <f>SUMIF('Business case - Quarterly view'!$I$8:$R$8,G$5,'Business case - Quarterly view'!$I$84:$R$84)</f>
        <v>-17090.635964912282</v>
      </c>
      <c r="H15" s="151">
        <f>SUMIF('Business case - Quarterly view'!$I$8:$R$8,H$5,'Business case - Quarterly view'!$I$84:$R$84)</f>
        <v>-33975.994051704416</v>
      </c>
    </row>
    <row r="16" spans="2:8" x14ac:dyDescent="0.3">
      <c r="D16" s="144" t="s">
        <v>261</v>
      </c>
      <c r="E16" s="145" t="s">
        <v>21</v>
      </c>
      <c r="F16" s="146">
        <f>SUM(F9:F15)</f>
        <v>-4689.2335051546388</v>
      </c>
      <c r="G16" s="146">
        <f>SUM(G9:G15)</f>
        <v>723.94708459809772</v>
      </c>
      <c r="H16" s="146">
        <f>SUM(H9:H15)</f>
        <v>25066.557724333194</v>
      </c>
    </row>
    <row r="18" spans="4:8" ht="15.6" customHeight="1" x14ac:dyDescent="0.3">
      <c r="D18" s="131" t="s">
        <v>262</v>
      </c>
    </row>
    <row r="19" spans="4:8" ht="15.6" customHeight="1" x14ac:dyDescent="0.3">
      <c r="D19" s="137" t="s">
        <v>263</v>
      </c>
      <c r="E19" t="s">
        <v>3</v>
      </c>
      <c r="F19" s="150">
        <v>6</v>
      </c>
      <c r="G19" s="150">
        <v>12</v>
      </c>
      <c r="H19" s="150">
        <v>12</v>
      </c>
    </row>
    <row r="20" spans="4:8" x14ac:dyDescent="0.3">
      <c r="D20" s="129" t="s">
        <v>264</v>
      </c>
      <c r="E20" t="s">
        <v>21</v>
      </c>
      <c r="F20" s="134">
        <f>MAX(0,F16)</f>
        <v>0</v>
      </c>
      <c r="G20" s="134">
        <f>MAX(0,G16)</f>
        <v>723.94708459809772</v>
      </c>
      <c r="H20" s="134">
        <f>MAX(0,H16)</f>
        <v>25066.557724333194</v>
      </c>
    </row>
    <row r="21" spans="4:8" x14ac:dyDescent="0.3">
      <c r="D21" s="129" t="s">
        <v>265</v>
      </c>
      <c r="E21" t="s">
        <v>21</v>
      </c>
      <c r="F21" s="135">
        <f>Assumptions!$F$95*F$19</f>
        <v>3306.6000000000004</v>
      </c>
      <c r="G21" s="135">
        <f>Assumptions!$F$95*G$19</f>
        <v>6613.2000000000007</v>
      </c>
      <c r="H21" s="135">
        <f>Assumptions!$F$95*H$19</f>
        <v>6613.2000000000007</v>
      </c>
    </row>
    <row r="22" spans="4:8" x14ac:dyDescent="0.3">
      <c r="D22" s="129" t="s">
        <v>266</v>
      </c>
      <c r="E22" t="s">
        <v>21</v>
      </c>
      <c r="F22" s="135">
        <f>Assumptions!$F$96*F$19</f>
        <v>48510</v>
      </c>
      <c r="G22" s="135">
        <f>Assumptions!$F$96*G$19</f>
        <v>97020</v>
      </c>
      <c r="H22" s="135">
        <f>Assumptions!$F$96*H$19</f>
        <v>97020</v>
      </c>
    </row>
    <row r="23" spans="4:8" x14ac:dyDescent="0.3">
      <c r="D23" s="129" t="s">
        <v>267</v>
      </c>
      <c r="E23" t="s">
        <v>21</v>
      </c>
      <c r="F23" s="136">
        <f>MIN(MAX(F20,F21),F22)</f>
        <v>3306.6000000000004</v>
      </c>
      <c r="G23" s="136">
        <f>MIN(MAX(G20,G21),G22)</f>
        <v>6613.2000000000007</v>
      </c>
      <c r="H23" s="136">
        <f>MIN(MAX(H20,H21),H22)</f>
        <v>25066.557724333194</v>
      </c>
    </row>
    <row r="24" spans="4:8" x14ac:dyDescent="0.3">
      <c r="D24" s="129" t="s">
        <v>268</v>
      </c>
      <c r="E24" t="s">
        <v>21</v>
      </c>
      <c r="F24" s="136">
        <f>-F23*Assumptions!$F$90</f>
        <v>-611.721</v>
      </c>
      <c r="G24" s="136">
        <f>-G23*Assumptions!$F$90</f>
        <v>-1223.442</v>
      </c>
      <c r="H24" s="136">
        <f>-H23*Assumptions!$F$90</f>
        <v>-4637.3131790016405</v>
      </c>
    </row>
    <row r="25" spans="4:8" x14ac:dyDescent="0.3">
      <c r="D25" s="129" t="s">
        <v>269</v>
      </c>
      <c r="E25" t="s">
        <v>21</v>
      </c>
      <c r="F25" s="136">
        <f>-F23*Assumptions!$F$91</f>
        <v>-224.84880000000004</v>
      </c>
      <c r="G25" s="136">
        <f>-G23*Assumptions!$F$91</f>
        <v>-449.69760000000008</v>
      </c>
      <c r="H25" s="136">
        <f>-H23*Assumptions!$F$91</f>
        <v>-1704.5259252546573</v>
      </c>
    </row>
    <row r="26" spans="4:8" x14ac:dyDescent="0.3">
      <c r="D26" s="129" t="s">
        <v>270</v>
      </c>
      <c r="E26" t="s">
        <v>21</v>
      </c>
      <c r="F26" s="136">
        <f>-F23*Assumptions!$F$92</f>
        <v>-50.590980000000002</v>
      </c>
      <c r="G26" s="136">
        <f>-G23*Assumptions!$F$92</f>
        <v>-101.18196</v>
      </c>
      <c r="H26" s="136">
        <f>-H23*Assumptions!$F$92</f>
        <v>-383.51833318229785</v>
      </c>
    </row>
    <row r="27" spans="4:8" x14ac:dyDescent="0.3">
      <c r="D27" s="129" t="s">
        <v>271</v>
      </c>
      <c r="E27" t="s">
        <v>21</v>
      </c>
      <c r="F27" s="136">
        <f>-Assumptions!$F$94*F$19</f>
        <v>-77.699999999999989</v>
      </c>
      <c r="G27" s="136">
        <f>-Assumptions!$F$94*G$19</f>
        <v>-155.39999999999998</v>
      </c>
      <c r="H27" s="136">
        <f>-Assumptions!$F$94*H$19</f>
        <v>-155.39999999999998</v>
      </c>
    </row>
    <row r="28" spans="4:8" x14ac:dyDescent="0.3">
      <c r="D28" s="147" t="s">
        <v>272</v>
      </c>
      <c r="E28" s="145" t="s">
        <v>21</v>
      </c>
      <c r="F28" s="146">
        <f>SUM(F24:F27)</f>
        <v>-964.86077999999998</v>
      </c>
      <c r="G28" s="146">
        <f>SUM(G24:G27)</f>
        <v>-1929.72156</v>
      </c>
      <c r="H28" s="146">
        <f>SUM(H24:H27)</f>
        <v>-6880.7574374385958</v>
      </c>
    </row>
    <row r="30" spans="4:8" ht="15.6" customHeight="1" x14ac:dyDescent="0.3">
      <c r="D30" s="137" t="s">
        <v>273</v>
      </c>
    </row>
    <row r="31" spans="4:8" x14ac:dyDescent="0.3">
      <c r="D31" s="7" t="s">
        <v>274</v>
      </c>
      <c r="E31" t="s">
        <v>21</v>
      </c>
      <c r="F31" s="133">
        <f>F16+F28</f>
        <v>-5654.0942851546388</v>
      </c>
      <c r="G31" s="133">
        <f>G16+G28</f>
        <v>-1205.7744754019022</v>
      </c>
      <c r="H31" s="133">
        <f>H16+H28</f>
        <v>18185.800286894599</v>
      </c>
    </row>
    <row r="32" spans="4:8" x14ac:dyDescent="0.3">
      <c r="D32" t="s">
        <v>275</v>
      </c>
      <c r="E32" t="s">
        <v>21</v>
      </c>
      <c r="F32" s="136">
        <f>-MIN(MAX(F31,0),Assumptions!$F$110)*Assumptions!$F$109</f>
        <v>0</v>
      </c>
      <c r="G32" s="136">
        <f>-MIN(MAX(G31,0),Assumptions!$F$110)*Assumptions!$F$109</f>
        <v>0</v>
      </c>
      <c r="H32" s="136">
        <f>-MIN(MAX(H31,0),Assumptions!$F$110)*Assumptions!$F$109</f>
        <v>-2727.8700430341896</v>
      </c>
    </row>
    <row r="33" spans="4:8" x14ac:dyDescent="0.3">
      <c r="D33" t="s">
        <v>276</v>
      </c>
      <c r="E33" t="s">
        <v>21</v>
      </c>
      <c r="F33" s="136">
        <f>F31+F32</f>
        <v>-5654.0942851546388</v>
      </c>
      <c r="G33" s="136">
        <f>G31+G32</f>
        <v>-1205.7744754019022</v>
      </c>
      <c r="H33" s="136">
        <f>H31+H32</f>
        <v>15457.93024386041</v>
      </c>
    </row>
    <row r="34" spans="4:8" x14ac:dyDescent="0.3">
      <c r="D34" t="s">
        <v>277</v>
      </c>
      <c r="E34" t="s">
        <v>21</v>
      </c>
      <c r="F34" s="138">
        <v>0</v>
      </c>
      <c r="G34" s="141">
        <f>F36</f>
        <v>5654.0942851546388</v>
      </c>
      <c r="H34" s="141">
        <f>G36</f>
        <v>6859.868760556541</v>
      </c>
    </row>
    <row r="35" spans="4:8" x14ac:dyDescent="0.3">
      <c r="D35" t="s">
        <v>278</v>
      </c>
      <c r="E35" t="s">
        <v>21</v>
      </c>
      <c r="F35" s="136">
        <f>-MIN(MAX(F33,0)*Assumptions!$F$112,F34)</f>
        <v>0</v>
      </c>
      <c r="G35" s="136">
        <f>-MIN(MAX(G33,0)*Assumptions!$F$112,G34)</f>
        <v>0</v>
      </c>
      <c r="H35" s="136">
        <f>-MIN(MAX(H33,0)*Assumptions!$F$112,H34)</f>
        <v>-6859.868760556541</v>
      </c>
    </row>
    <row r="36" spans="4:8" x14ac:dyDescent="0.3">
      <c r="D36" t="s">
        <v>279</v>
      </c>
      <c r="E36" t="s">
        <v>21</v>
      </c>
      <c r="F36" s="136">
        <f>F34+F35+MAX(0,-F33)</f>
        <v>5654.0942851546388</v>
      </c>
      <c r="G36" s="136">
        <f>G34+G35+MAX(0,-G33)</f>
        <v>6859.868760556541</v>
      </c>
      <c r="H36" s="136">
        <f>H34+H35+MAX(0,-H33)</f>
        <v>0</v>
      </c>
    </row>
    <row r="37" spans="4:8" x14ac:dyDescent="0.3">
      <c r="D37" s="7" t="s">
        <v>280</v>
      </c>
      <c r="E37" t="s">
        <v>21</v>
      </c>
      <c r="F37" s="133">
        <f>MAX(0,F33+F35)</f>
        <v>0</v>
      </c>
      <c r="G37" s="133">
        <f>MAX(0,G33+G35)</f>
        <v>0</v>
      </c>
      <c r="H37" s="133">
        <f>MAX(0,H33+H35)</f>
        <v>8598.061483303869</v>
      </c>
    </row>
    <row r="39" spans="4:8" x14ac:dyDescent="0.3">
      <c r="D39" s="129" t="s">
        <v>281</v>
      </c>
    </row>
    <row r="40" spans="4:8" x14ac:dyDescent="0.3">
      <c r="D40" s="129" t="str">
        <f>TEXT(Assumptions!$F100,"#,##0")&amp;" - "&amp;TEXT(Assumptions!$G100,"#,##0")&amp;" @ "&amp;TEXT(Assumptions!$H100,"0%")</f>
        <v>0 - 13,539 @ 0%</v>
      </c>
      <c r="F40" s="134">
        <f>MAX(0,MIN(F$37,Assumptions!$G100)-Assumptions!$F100)*Assumptions!$H100</f>
        <v>0</v>
      </c>
      <c r="G40" s="134">
        <f>MAX(0,MIN(G$37,Assumptions!$G100)-Assumptions!$F100)*Assumptions!$H100</f>
        <v>0</v>
      </c>
      <c r="H40" s="134">
        <f>MAX(0,MIN(H$37,Assumptions!$G100)-Assumptions!$F100)*Assumptions!$H100</f>
        <v>0</v>
      </c>
    </row>
    <row r="41" spans="4:8" x14ac:dyDescent="0.3">
      <c r="D41" s="129" t="str">
        <f>TEXT(Assumptions!$F101,"#,##0")&amp;" - "&amp;TEXT(Assumptions!$G101,"#,##0")&amp;" @ "&amp;TEXT(Assumptions!$H101,"0%")</f>
        <v>13,539 - 21,992 @ 20%</v>
      </c>
      <c r="F41" s="134">
        <f>MAX(0,MIN(F$37,Assumptions!$G101)-Assumptions!$F101)*Assumptions!$H101</f>
        <v>0</v>
      </c>
      <c r="G41" s="134">
        <f>MAX(0,MIN(G$37,Assumptions!$G101)-Assumptions!$F101)*Assumptions!$H101</f>
        <v>0</v>
      </c>
      <c r="H41" s="134">
        <f>MAX(0,MIN(H$37,Assumptions!$G101)-Assumptions!$F101)*Assumptions!$H101</f>
        <v>0</v>
      </c>
    </row>
    <row r="42" spans="4:8" x14ac:dyDescent="0.3">
      <c r="D42" s="129" t="str">
        <f>TEXT(Assumptions!$F102,"#,##0")&amp;" - "&amp;TEXT(Assumptions!$G102,"#,##0")&amp;" @ "&amp;TEXT(Assumptions!$H102,"0%")</f>
        <v>21,992 - 36,458 @ 30%</v>
      </c>
      <c r="F42" s="134">
        <f>MAX(0,MIN(F$37,Assumptions!$G102)-Assumptions!$F102)*Assumptions!$H102</f>
        <v>0</v>
      </c>
      <c r="G42" s="134">
        <f>MAX(0,MIN(G$37,Assumptions!$G102)-Assumptions!$F102)*Assumptions!$H102</f>
        <v>0</v>
      </c>
      <c r="H42" s="134">
        <f>MAX(0,MIN(H$37,Assumptions!$G102)-Assumptions!$F102)*Assumptions!$H102</f>
        <v>0</v>
      </c>
    </row>
    <row r="43" spans="4:8" x14ac:dyDescent="0.3">
      <c r="D43" s="129" t="str">
        <f>TEXT(Assumptions!$F103,"#,##0")&amp;" - "&amp;TEXT(Assumptions!$G103,"#,##0")&amp;" @ "&amp;TEXT(Assumptions!$H103,"0%")</f>
        <v>36,458 - 70,365 @ 40%</v>
      </c>
      <c r="F43" s="134">
        <f>MAX(0,MIN(F$37,Assumptions!$G103)-Assumptions!$F103)*Assumptions!$H103</f>
        <v>0</v>
      </c>
      <c r="G43" s="134">
        <f>MAX(0,MIN(G$37,Assumptions!$G103)-Assumptions!$F103)*Assumptions!$H103</f>
        <v>0</v>
      </c>
      <c r="H43" s="134">
        <f>MAX(0,MIN(H$37,Assumptions!$G103)-Assumptions!$F103)*Assumptions!$H103</f>
        <v>0</v>
      </c>
    </row>
    <row r="44" spans="4:8" x14ac:dyDescent="0.3">
      <c r="D44" s="129" t="str">
        <f>TEXT(Assumptions!$F104,"#,##0")&amp;" - "&amp;TEXT(Assumptions!$G104,"#,##0")&amp;" @ "&amp;TEXT(Assumptions!$H104,"0%")</f>
        <v>70,365 - 104,859 @ 48%</v>
      </c>
      <c r="F44" s="134">
        <f>MAX(0,MIN(F$37,Assumptions!$G104)-Assumptions!$F104)*Assumptions!$H104</f>
        <v>0</v>
      </c>
      <c r="G44" s="134">
        <f>MAX(0,MIN(G$37,Assumptions!$G104)-Assumptions!$F104)*Assumptions!$H104</f>
        <v>0</v>
      </c>
      <c r="H44" s="134">
        <f>MAX(0,MIN(H$37,Assumptions!$G104)-Assumptions!$F104)*Assumptions!$H104</f>
        <v>0</v>
      </c>
    </row>
    <row r="45" spans="4:8" x14ac:dyDescent="0.3">
      <c r="D45" s="129" t="str">
        <f>TEXT(Assumptions!$F105,"#,##0")&amp;" - "&amp;TEXT(Assumptions!$G105,"#,##0")&amp;" @ "&amp;TEXT(Assumptions!$H105,"0%")</f>
        <v>104,859 - 1,000,000 @ 50%</v>
      </c>
      <c r="F45" s="134">
        <f>MAX(0,MIN(F$37,Assumptions!$G105)-Assumptions!$F105)*Assumptions!$H105</f>
        <v>0</v>
      </c>
      <c r="G45" s="134">
        <f>MAX(0,MIN(G$37,Assumptions!$G105)-Assumptions!$F105)*Assumptions!$H105</f>
        <v>0</v>
      </c>
      <c r="H45" s="134">
        <f>MAX(0,MIN(H$37,Assumptions!$G105)-Assumptions!$F105)*Assumptions!$H105</f>
        <v>0</v>
      </c>
    </row>
    <row r="46" spans="4:8" x14ac:dyDescent="0.3">
      <c r="D46" s="129" t="str">
        <f>TEXT(Assumptions!$F106,"#,##0")&amp;" - "&amp;TEXT(Assumptions!$G106,"#,##0")&amp;" @ "&amp;TEXT(Assumptions!$H106,"0%")</f>
        <v>1,000,000 - 999,999,999 @ 55%</v>
      </c>
      <c r="F46" s="134">
        <f>MAX(0,MIN(F$37,Assumptions!$G106)-Assumptions!$F106)*Assumptions!$H106</f>
        <v>0</v>
      </c>
      <c r="G46" s="134">
        <f>MAX(0,MIN(G$37,Assumptions!$G106)-Assumptions!$F106)*Assumptions!$H106</f>
        <v>0</v>
      </c>
      <c r="H46" s="134">
        <f>MAX(0,MIN(H$37,Assumptions!$G106)-Assumptions!$F106)*Assumptions!$H106</f>
        <v>0</v>
      </c>
    </row>
    <row r="47" spans="4:8" x14ac:dyDescent="0.3">
      <c r="D47" s="144" t="s">
        <v>282</v>
      </c>
      <c r="E47" s="145" t="s">
        <v>21</v>
      </c>
      <c r="F47" s="146">
        <f>-SUM(F40:F46)</f>
        <v>0</v>
      </c>
      <c r="G47" s="146">
        <f>-SUM(G40:G46)</f>
        <v>0</v>
      </c>
      <c r="H47" s="146">
        <f>-SUM(H40:H46)</f>
        <v>0</v>
      </c>
    </row>
    <row r="49" spans="4:8" ht="15.6" customHeight="1" x14ac:dyDescent="0.3">
      <c r="D49" s="131" t="s">
        <v>283</v>
      </c>
    </row>
    <row r="50" spans="4:8" x14ac:dyDescent="0.3">
      <c r="D50" s="7" t="s">
        <v>284</v>
      </c>
      <c r="E50" t="s">
        <v>21</v>
      </c>
      <c r="F50" s="148">
        <f>F31+F47</f>
        <v>-5654.0942851546388</v>
      </c>
      <c r="G50" s="148">
        <f>G31+G47</f>
        <v>-1205.7744754019022</v>
      </c>
      <c r="H50" s="148">
        <f>H31+H47</f>
        <v>18185.800286894599</v>
      </c>
    </row>
    <row r="51" spans="4:8" x14ac:dyDescent="0.3">
      <c r="D51" t="s">
        <v>285</v>
      </c>
      <c r="E51" t="s">
        <v>3</v>
      </c>
      <c r="F51" s="139">
        <v>6</v>
      </c>
      <c r="G51" s="139">
        <v>12</v>
      </c>
      <c r="H51" s="139">
        <v>12</v>
      </c>
    </row>
    <row r="52" spans="4:8" x14ac:dyDescent="0.3">
      <c r="D52" t="s">
        <v>286</v>
      </c>
      <c r="E52" t="s">
        <v>21</v>
      </c>
      <c r="F52" s="136">
        <f>F50/F51</f>
        <v>-942.34904752577313</v>
      </c>
      <c r="G52" s="136">
        <f>G50/G51</f>
        <v>-100.48120628349186</v>
      </c>
      <c r="H52" s="136">
        <f>H50/H51</f>
        <v>1515.4833572412165</v>
      </c>
    </row>
    <row r="53" spans="4:8" x14ac:dyDescent="0.3">
      <c r="D53" t="s">
        <v>287</v>
      </c>
      <c r="E53" t="s">
        <v>21</v>
      </c>
      <c r="F53" s="140">
        <v>3500</v>
      </c>
      <c r="G53" s="140">
        <v>3500</v>
      </c>
      <c r="H53" s="140">
        <v>3500</v>
      </c>
    </row>
    <row r="54" spans="4:8" x14ac:dyDescent="0.3">
      <c r="D54" t="s">
        <v>288</v>
      </c>
      <c r="E54" t="s">
        <v>3</v>
      </c>
      <c r="F54" s="139">
        <v>0</v>
      </c>
      <c r="G54" s="139">
        <v>6</v>
      </c>
      <c r="H54" s="139">
        <v>12</v>
      </c>
    </row>
    <row r="55" spans="4:8" x14ac:dyDescent="0.3">
      <c r="D55" t="s">
        <v>289</v>
      </c>
      <c r="E55" t="s">
        <v>21</v>
      </c>
      <c r="F55" s="136">
        <f>F53*F54</f>
        <v>0</v>
      </c>
      <c r="G55" s="136">
        <f>G53*G54</f>
        <v>21000</v>
      </c>
      <c r="H55" s="136">
        <f>H53*H54</f>
        <v>42000</v>
      </c>
    </row>
    <row r="56" spans="4:8" x14ac:dyDescent="0.3">
      <c r="D56" s="144" t="s">
        <v>290</v>
      </c>
      <c r="E56" s="145" t="s">
        <v>21</v>
      </c>
      <c r="F56" s="149">
        <f>F50-F55</f>
        <v>-5654.0942851546388</v>
      </c>
      <c r="G56" s="149">
        <f>G50-G55</f>
        <v>-22205.7744754019</v>
      </c>
      <c r="H56" s="149">
        <f>H50-H55</f>
        <v>-23814.199713105401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K27"/>
  <sheetViews>
    <sheetView topLeftCell="A10" workbookViewId="0">
      <selection activeCell="F21" sqref="E20:F21"/>
    </sheetView>
  </sheetViews>
  <sheetFormatPr defaultRowHeight="14.4" x14ac:dyDescent="0.3"/>
  <cols>
    <col min="3" max="3" width="31" customWidth="1"/>
    <col min="4" max="4" width="10.44140625" bestFit="1" customWidth="1"/>
    <col min="5" max="6" width="11.44140625" bestFit="1" customWidth="1"/>
    <col min="10" max="10" width="41.88671875" customWidth="1"/>
  </cols>
  <sheetData>
    <row r="1" spans="3:11" x14ac:dyDescent="0.3">
      <c r="E1" s="6" t="s">
        <v>291</v>
      </c>
    </row>
    <row r="2" spans="3:11" x14ac:dyDescent="0.3">
      <c r="C2" s="8"/>
      <c r="D2" s="8" t="s">
        <v>292</v>
      </c>
      <c r="E2" s="8" t="s">
        <v>293</v>
      </c>
      <c r="F2" s="8" t="s">
        <v>294</v>
      </c>
    </row>
    <row r="3" spans="3:11" x14ac:dyDescent="0.3">
      <c r="C3" s="7" t="s">
        <v>295</v>
      </c>
      <c r="D3" s="7">
        <f>D8</f>
        <v>36504</v>
      </c>
      <c r="E3" s="7">
        <f>E8</f>
        <v>36504</v>
      </c>
      <c r="F3" s="7">
        <f>F8</f>
        <v>36504</v>
      </c>
      <c r="J3" t="s">
        <v>296</v>
      </c>
      <c r="K3" s="4">
        <v>0.3</v>
      </c>
    </row>
    <row r="4" spans="3:11" x14ac:dyDescent="0.3">
      <c r="C4" t="s">
        <v>297</v>
      </c>
      <c r="D4">
        <v>1800</v>
      </c>
      <c r="E4">
        <v>1800</v>
      </c>
      <c r="F4">
        <v>1800</v>
      </c>
    </row>
    <row r="5" spans="3:11" x14ac:dyDescent="0.3">
      <c r="C5" t="s">
        <v>298</v>
      </c>
      <c r="D5">
        <f>D4*12</f>
        <v>21600</v>
      </c>
      <c r="E5">
        <f>E4*12</f>
        <v>21600</v>
      </c>
      <c r="F5">
        <f>F4*12</f>
        <v>21600</v>
      </c>
    </row>
    <row r="6" spans="3:11" x14ac:dyDescent="0.3">
      <c r="C6" t="s">
        <v>299</v>
      </c>
      <c r="D6">
        <v>1.3</v>
      </c>
      <c r="E6">
        <v>1.3</v>
      </c>
      <c r="F6">
        <v>1.3</v>
      </c>
    </row>
    <row r="7" spans="3:11" x14ac:dyDescent="0.3">
      <c r="C7" t="s">
        <v>300</v>
      </c>
      <c r="D7">
        <f>D6*D5</f>
        <v>28080</v>
      </c>
      <c r="E7">
        <f>E6*E5</f>
        <v>28080</v>
      </c>
      <c r="F7">
        <f>F6*F5</f>
        <v>28080</v>
      </c>
    </row>
    <row r="8" spans="3:11" x14ac:dyDescent="0.3">
      <c r="C8" t="s">
        <v>301</v>
      </c>
      <c r="D8">
        <f>D7*(1+$K$3)</f>
        <v>36504</v>
      </c>
      <c r="E8">
        <f>E7*(1+$K$3)</f>
        <v>36504</v>
      </c>
      <c r="F8">
        <f>F7*(1+$K$3)</f>
        <v>36504</v>
      </c>
    </row>
    <row r="10" spans="3:11" x14ac:dyDescent="0.3">
      <c r="C10" s="7" t="s">
        <v>302</v>
      </c>
      <c r="D10" s="7">
        <f>D15</f>
        <v>0</v>
      </c>
      <c r="E10" s="7">
        <f>E15</f>
        <v>60450</v>
      </c>
      <c r="F10" s="7">
        <f>F15</f>
        <v>60450</v>
      </c>
      <c r="J10" t="s">
        <v>296</v>
      </c>
      <c r="K10" s="4">
        <v>0.3</v>
      </c>
    </row>
    <row r="11" spans="3:11" x14ac:dyDescent="0.3">
      <c r="C11" t="s">
        <v>297</v>
      </c>
      <c r="E11">
        <v>2500</v>
      </c>
      <c r="F11">
        <f>E11</f>
        <v>2500</v>
      </c>
    </row>
    <row r="12" spans="3:11" x14ac:dyDescent="0.3">
      <c r="C12" t="s">
        <v>298</v>
      </c>
      <c r="E12">
        <f>E11*12</f>
        <v>30000</v>
      </c>
      <c r="F12">
        <f>F11*12</f>
        <v>30000</v>
      </c>
    </row>
    <row r="13" spans="3:11" x14ac:dyDescent="0.3">
      <c r="C13" t="s">
        <v>299</v>
      </c>
      <c r="E13">
        <v>1.55</v>
      </c>
      <c r="F13">
        <v>1.55</v>
      </c>
    </row>
    <row r="14" spans="3:11" x14ac:dyDescent="0.3">
      <c r="C14" t="s">
        <v>300</v>
      </c>
      <c r="E14">
        <f>E13*E12</f>
        <v>46500</v>
      </c>
      <c r="F14">
        <f>F13*F12</f>
        <v>46500</v>
      </c>
    </row>
    <row r="15" spans="3:11" x14ac:dyDescent="0.3">
      <c r="C15" t="s">
        <v>301</v>
      </c>
      <c r="E15">
        <f>E14*(1+$K$3)</f>
        <v>60450</v>
      </c>
      <c r="F15">
        <f>F14*(1+$K$3)</f>
        <v>60450</v>
      </c>
    </row>
    <row r="17" spans="3:11" x14ac:dyDescent="0.3">
      <c r="C17" s="7" t="s">
        <v>303</v>
      </c>
      <c r="D17" s="7">
        <f>D22</f>
        <v>0</v>
      </c>
      <c r="E17" s="7">
        <f>E22</f>
        <v>36000</v>
      </c>
      <c r="F17" s="7">
        <f>F22</f>
        <v>36000</v>
      </c>
      <c r="J17" t="s">
        <v>296</v>
      </c>
      <c r="K17" s="4">
        <v>0</v>
      </c>
    </row>
    <row r="18" spans="3:11" x14ac:dyDescent="0.3">
      <c r="C18" t="s">
        <v>297</v>
      </c>
      <c r="E18">
        <v>3000</v>
      </c>
      <c r="F18">
        <f>E18</f>
        <v>3000</v>
      </c>
    </row>
    <row r="19" spans="3:11" x14ac:dyDescent="0.3">
      <c r="C19" t="s">
        <v>298</v>
      </c>
      <c r="D19">
        <f>D18*12</f>
        <v>0</v>
      </c>
      <c r="E19">
        <f>E18*12</f>
        <v>36000</v>
      </c>
      <c r="F19">
        <f>F18*12</f>
        <v>36000</v>
      </c>
    </row>
    <row r="20" spans="3:11" x14ac:dyDescent="0.3">
      <c r="C20" t="s">
        <v>299</v>
      </c>
      <c r="E20">
        <v>1</v>
      </c>
      <c r="F20">
        <v>1</v>
      </c>
    </row>
    <row r="21" spans="3:11" x14ac:dyDescent="0.3">
      <c r="C21" t="s">
        <v>300</v>
      </c>
      <c r="D21">
        <f>D20*D19</f>
        <v>0</v>
      </c>
      <c r="E21">
        <f>E20*E19</f>
        <v>36000</v>
      </c>
      <c r="F21">
        <f>F20*F19</f>
        <v>36000</v>
      </c>
    </row>
    <row r="22" spans="3:11" x14ac:dyDescent="0.3">
      <c r="C22" t="s">
        <v>301</v>
      </c>
      <c r="D22">
        <f>D21*(1+$K$3)</f>
        <v>0</v>
      </c>
      <c r="E22">
        <f>E21*(1+$K$17)</f>
        <v>36000</v>
      </c>
      <c r="F22">
        <f>F21*(1+$K$17)</f>
        <v>36000</v>
      </c>
    </row>
    <row r="24" spans="3:11" x14ac:dyDescent="0.3">
      <c r="D24" s="1">
        <f>SUM(D25:D27)</f>
        <v>36504</v>
      </c>
      <c r="E24" s="1">
        <f>SUM(E25:E27)</f>
        <v>132954</v>
      </c>
      <c r="F24" s="1">
        <f>SUM(F25:F27)</f>
        <v>132954</v>
      </c>
    </row>
    <row r="25" spans="3:11" x14ac:dyDescent="0.3">
      <c r="C25" t="s">
        <v>304</v>
      </c>
      <c r="D25">
        <f>(D8-D5)+(D15-D12)</f>
        <v>14904</v>
      </c>
      <c r="E25">
        <f>(E8-E5)+(E15-E12)</f>
        <v>45354</v>
      </c>
      <c r="F25">
        <f>(F8-F5)+(F15-F12)</f>
        <v>45354</v>
      </c>
    </row>
    <row r="26" spans="3:11" x14ac:dyDescent="0.3">
      <c r="C26" t="s">
        <v>305</v>
      </c>
      <c r="D26">
        <f>D5</f>
        <v>21600</v>
      </c>
      <c r="E26">
        <f>E5</f>
        <v>21600</v>
      </c>
      <c r="F26">
        <f>F5</f>
        <v>21600</v>
      </c>
    </row>
    <row r="27" spans="3:11" x14ac:dyDescent="0.3">
      <c r="C27" t="s">
        <v>306</v>
      </c>
      <c r="D27">
        <f>D12+D19</f>
        <v>0</v>
      </c>
      <c r="E27">
        <f>E12+E19</f>
        <v>66000</v>
      </c>
      <c r="F27">
        <f>F12+F19</f>
        <v>66000</v>
      </c>
    </row>
  </sheetData>
  <hyperlinks>
    <hyperlink ref="E1"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XFD114"/>
  <sheetViews>
    <sheetView tabSelected="1" zoomScale="73" zoomScaleNormal="73" workbookViewId="0">
      <selection activeCell="F114" sqref="F114"/>
    </sheetView>
  </sheetViews>
  <sheetFormatPr defaultColWidth="8.6640625" defaultRowHeight="14.4" x14ac:dyDescent="0.3"/>
  <cols>
    <col min="1" max="1" width="8.6640625" style="12" customWidth="1"/>
    <col min="2" max="2" width="10.33203125" style="12" bestFit="1" customWidth="1"/>
    <col min="3" max="3" width="3" style="12" customWidth="1"/>
    <col min="4" max="4" width="47" style="12" customWidth="1"/>
    <col min="5" max="5" width="15.44140625" style="12" customWidth="1"/>
    <col min="6" max="8" width="13.33203125" style="12" customWidth="1"/>
    <col min="9" max="9" width="10.44140625" style="12" bestFit="1" customWidth="1"/>
    <col min="10" max="12" width="9.44140625" style="12" bestFit="1" customWidth="1"/>
    <col min="13" max="13" width="9.44140625" style="12" customWidth="1"/>
    <col min="14" max="14" width="8.6640625" style="12" customWidth="1"/>
    <col min="15" max="15" width="56" style="12" customWidth="1"/>
    <col min="16" max="18" width="8.6640625" style="12" customWidth="1"/>
    <col min="19" max="19" width="9.44140625" style="12" bestFit="1" customWidth="1"/>
    <col min="20" max="24" width="8.6640625" style="12" customWidth="1"/>
    <col min="25" max="25" width="9.6640625" style="12" bestFit="1" customWidth="1"/>
    <col min="26" max="27" width="8.6640625" style="12" customWidth="1"/>
    <col min="28" max="16384" width="8.6640625" style="12"/>
  </cols>
  <sheetData>
    <row r="2" spans="1:30 16361:16384" s="44" customFormat="1" x14ac:dyDescent="0.3">
      <c r="A2" s="39"/>
      <c r="C2" s="41"/>
      <c r="D2" s="40" t="s">
        <v>129</v>
      </c>
      <c r="E2" s="42"/>
      <c r="F2" s="42"/>
      <c r="G2" s="42"/>
      <c r="H2" s="42"/>
      <c r="I2" s="42"/>
      <c r="J2" s="42"/>
      <c r="K2" s="42"/>
      <c r="L2" s="42"/>
      <c r="M2" s="42"/>
      <c r="N2" s="42"/>
      <c r="O2" s="42"/>
      <c r="P2" s="42"/>
      <c r="Q2" s="42"/>
      <c r="R2" s="42"/>
      <c r="S2" s="42"/>
      <c r="T2" s="42"/>
      <c r="U2" s="42"/>
      <c r="V2" s="42"/>
      <c r="W2" s="42"/>
      <c r="X2" s="42"/>
      <c r="Y2" s="42"/>
      <c r="Z2" s="42"/>
      <c r="AA2" s="42"/>
      <c r="AB2" s="42"/>
      <c r="AC2" s="42"/>
      <c r="AD2" s="43"/>
      <c r="XEG2" s="45"/>
      <c r="XEH2" s="45"/>
      <c r="XEI2" s="45"/>
      <c r="XEJ2" s="45"/>
      <c r="XEK2" s="45"/>
      <c r="XEL2" s="45"/>
      <c r="XEM2" s="45"/>
      <c r="XEN2" s="45"/>
      <c r="XEO2" s="45"/>
      <c r="XEP2" s="45"/>
      <c r="XEQ2" s="45"/>
      <c r="XER2" s="45"/>
      <c r="XES2" s="45"/>
      <c r="XET2" s="45"/>
      <c r="XEU2" s="45"/>
      <c r="XEV2" s="45"/>
      <c r="XEW2" s="45"/>
      <c r="XEX2" s="45"/>
      <c r="XEY2" s="45"/>
      <c r="XEZ2" s="45"/>
      <c r="XFA2" s="45"/>
      <c r="XFB2" s="45"/>
      <c r="XFC2" s="45"/>
      <c r="XFD2" s="45"/>
    </row>
    <row r="3" spans="1:30 16361:16384" s="44" customFormat="1" x14ac:dyDescent="0.3">
      <c r="A3" s="39"/>
      <c r="C3" s="41"/>
      <c r="D3" s="46" t="s">
        <v>307</v>
      </c>
      <c r="E3" s="42"/>
      <c r="F3" s="42"/>
      <c r="G3" s="42"/>
      <c r="H3" s="42"/>
      <c r="I3" s="42"/>
      <c r="J3" s="42"/>
      <c r="K3" s="42"/>
      <c r="L3" s="42"/>
      <c r="M3" s="42"/>
      <c r="N3" s="42"/>
      <c r="O3" s="42"/>
      <c r="P3" s="42"/>
      <c r="Q3" s="42"/>
      <c r="R3" s="42"/>
      <c r="S3" s="42"/>
      <c r="T3" s="42"/>
      <c r="U3" s="42"/>
      <c r="V3" s="42"/>
      <c r="W3" s="42"/>
      <c r="X3" s="42"/>
      <c r="Y3" s="42"/>
      <c r="Z3" s="42"/>
      <c r="AA3" s="42"/>
      <c r="AB3" s="42"/>
      <c r="AC3" s="42"/>
      <c r="AD3" s="43"/>
      <c r="XEG3" s="45"/>
      <c r="XEH3" s="45"/>
      <c r="XEI3" s="45"/>
      <c r="XEJ3" s="45"/>
      <c r="XEK3" s="45"/>
      <c r="XEL3" s="45"/>
      <c r="XEM3" s="45"/>
      <c r="XEN3" s="45"/>
      <c r="XEO3" s="45"/>
      <c r="XEP3" s="45"/>
      <c r="XEQ3" s="45"/>
      <c r="XER3" s="45"/>
      <c r="XES3" s="45"/>
      <c r="XET3" s="45"/>
      <c r="XEU3" s="45"/>
      <c r="XEV3" s="45"/>
      <c r="XEW3" s="45"/>
      <c r="XEX3" s="45"/>
      <c r="XEY3" s="45"/>
      <c r="XEZ3" s="45"/>
      <c r="XFA3" s="45"/>
      <c r="XFB3" s="45"/>
      <c r="XFC3" s="45"/>
      <c r="XFD3" s="45"/>
    </row>
    <row r="4" spans="1:30 16361:16384" s="44" customFormat="1" ht="15.6" customHeight="1" x14ac:dyDescent="0.3">
      <c r="A4" s="39"/>
      <c r="C4" s="41"/>
      <c r="D4" s="47" t="s">
        <v>131</v>
      </c>
      <c r="E4" s="42"/>
      <c r="F4" s="42"/>
      <c r="G4" s="42"/>
      <c r="H4" s="42"/>
      <c r="I4" s="42"/>
      <c r="J4" s="42"/>
      <c r="K4" s="42"/>
      <c r="L4" s="42"/>
      <c r="M4" s="42"/>
      <c r="N4" s="42"/>
      <c r="O4" s="42"/>
      <c r="P4" s="42"/>
      <c r="Q4" s="42"/>
      <c r="R4" s="42"/>
      <c r="S4" s="42"/>
      <c r="T4" s="42"/>
      <c r="U4" s="42"/>
      <c r="V4" s="42"/>
      <c r="W4" s="42"/>
      <c r="X4" s="42"/>
      <c r="Y4" s="42"/>
      <c r="Z4" s="42"/>
      <c r="AA4" s="42"/>
      <c r="AB4" s="42"/>
      <c r="AC4" s="42"/>
      <c r="AD4" s="43"/>
      <c r="XEG4" s="45"/>
      <c r="XEH4" s="45"/>
      <c r="XEI4" s="45"/>
      <c r="XEJ4" s="45"/>
      <c r="XEK4" s="45"/>
      <c r="XEL4" s="45"/>
      <c r="XEM4" s="45"/>
      <c r="XEN4" s="45"/>
      <c r="XEO4" s="45"/>
      <c r="XEP4" s="45"/>
      <c r="XEQ4" s="45"/>
      <c r="XER4" s="45"/>
      <c r="XES4" s="45"/>
      <c r="XET4" s="45"/>
      <c r="XEU4" s="45"/>
      <c r="XEV4" s="45"/>
      <c r="XEW4" s="45"/>
      <c r="XEX4" s="45"/>
      <c r="XEY4" s="45"/>
      <c r="XEZ4" s="45"/>
      <c r="XFA4" s="45"/>
      <c r="XFB4" s="45"/>
      <c r="XFC4" s="45"/>
      <c r="XFD4" s="45"/>
    </row>
    <row r="5" spans="1:30 16361:16384" s="44" customFormat="1" ht="15.6" customHeight="1" x14ac:dyDescent="0.3">
      <c r="A5" s="39"/>
      <c r="C5" s="41"/>
      <c r="D5" s="48" t="s">
        <v>132</v>
      </c>
      <c r="E5" s="42"/>
      <c r="F5" s="42"/>
      <c r="G5" s="42"/>
      <c r="H5" s="42"/>
      <c r="I5" s="42"/>
      <c r="J5" s="42"/>
      <c r="K5" s="42"/>
      <c r="L5" s="42"/>
      <c r="M5" s="42"/>
      <c r="N5" s="42"/>
      <c r="O5" s="42"/>
      <c r="P5" s="42"/>
      <c r="Q5" s="42"/>
      <c r="R5" s="42"/>
      <c r="S5" s="42"/>
      <c r="T5" s="42"/>
      <c r="U5" s="42"/>
      <c r="V5" s="42"/>
      <c r="W5" s="42"/>
      <c r="X5" s="42"/>
      <c r="Y5" s="42"/>
      <c r="Z5" s="42"/>
      <c r="AA5" s="42"/>
      <c r="AB5" s="42"/>
      <c r="AC5" s="42"/>
      <c r="AD5" s="43"/>
      <c r="XEG5" s="45"/>
      <c r="XEH5" s="45"/>
      <c r="XEI5" s="45"/>
      <c r="XEJ5" s="45"/>
      <c r="XEK5" s="45"/>
      <c r="XEL5" s="45"/>
      <c r="XEM5" s="45"/>
      <c r="XEN5" s="45"/>
      <c r="XEO5" s="45"/>
      <c r="XEP5" s="45"/>
      <c r="XEQ5" s="45"/>
      <c r="XER5" s="45"/>
      <c r="XES5" s="45"/>
      <c r="XET5" s="45"/>
      <c r="XEU5" s="45"/>
      <c r="XEV5" s="45"/>
      <c r="XEW5" s="45"/>
      <c r="XEX5" s="45"/>
      <c r="XEY5" s="45"/>
      <c r="XEZ5" s="45"/>
      <c r="XFA5" s="45"/>
      <c r="XFB5" s="45"/>
      <c r="XFC5" s="45"/>
      <c r="XFD5" s="45"/>
    </row>
    <row r="7" spans="1:30 16361:16384" x14ac:dyDescent="0.3">
      <c r="B7" s="8" t="s">
        <v>3</v>
      </c>
      <c r="D7" s="8" t="s">
        <v>4</v>
      </c>
      <c r="E7" s="8" t="s">
        <v>5</v>
      </c>
      <c r="F7" s="8"/>
      <c r="G7" s="8"/>
      <c r="H7" s="8"/>
      <c r="I7" s="8"/>
      <c r="J7" s="8"/>
      <c r="K7" s="13"/>
      <c r="L7" s="13"/>
      <c r="M7" s="13"/>
      <c r="N7" s="13"/>
      <c r="O7" s="13" t="s">
        <v>18</v>
      </c>
    </row>
    <row r="8" spans="1:30 16361:16384" x14ac:dyDescent="0.3">
      <c r="K8" s="14"/>
    </row>
    <row r="9" spans="1:30 16361:16384" x14ac:dyDescent="0.3">
      <c r="B9" s="15">
        <v>1</v>
      </c>
      <c r="D9" s="16" t="s">
        <v>308</v>
      </c>
      <c r="K9" s="14"/>
    </row>
    <row r="10" spans="1:30 16361:16384" x14ac:dyDescent="0.3">
      <c r="K10" s="14"/>
    </row>
    <row r="11" spans="1:30 16361:16384" x14ac:dyDescent="0.3">
      <c r="D11" s="12" t="s">
        <v>309</v>
      </c>
      <c r="E11" s="12" t="s">
        <v>26</v>
      </c>
      <c r="F11" s="60">
        <v>0.02</v>
      </c>
      <c r="K11" s="14"/>
    </row>
    <row r="12" spans="1:30 16361:16384" x14ac:dyDescent="0.3">
      <c r="D12" s="12" t="s">
        <v>310</v>
      </c>
      <c r="E12" s="12" t="s">
        <v>26</v>
      </c>
      <c r="F12" s="58">
        <v>0.2</v>
      </c>
      <c r="K12" s="14"/>
    </row>
    <row r="13" spans="1:30 16361:16384" x14ac:dyDescent="0.3">
      <c r="K13" s="14"/>
    </row>
    <row r="14" spans="1:30 16361:16384" x14ac:dyDescent="0.3">
      <c r="B14" s="15">
        <v>2</v>
      </c>
      <c r="D14" s="16" t="s">
        <v>311</v>
      </c>
      <c r="K14" s="14"/>
    </row>
    <row r="15" spans="1:30 16361:16384" x14ac:dyDescent="0.3">
      <c r="K15" s="14"/>
    </row>
    <row r="16" spans="1:30 16361:16384" x14ac:dyDescent="0.3">
      <c r="B16" s="27">
        <v>2.1</v>
      </c>
      <c r="D16" s="28" t="s">
        <v>150</v>
      </c>
      <c r="K16" s="14"/>
    </row>
    <row r="17" spans="2:16" x14ac:dyDescent="0.3">
      <c r="K17" s="14"/>
    </row>
    <row r="18" spans="2:16" x14ac:dyDescent="0.3">
      <c r="B18" s="30" t="s">
        <v>312</v>
      </c>
      <c r="D18" s="28" t="s">
        <v>313</v>
      </c>
    </row>
    <row r="19" spans="2:16" x14ac:dyDescent="0.3">
      <c r="K19" s="14"/>
    </row>
    <row r="20" spans="2:16" x14ac:dyDescent="0.3">
      <c r="D20" s="18" t="s">
        <v>314</v>
      </c>
      <c r="E20" s="12" t="s">
        <v>33</v>
      </c>
      <c r="F20" s="12">
        <v>1</v>
      </c>
      <c r="G20" s="12">
        <v>2</v>
      </c>
      <c r="H20" s="12">
        <v>3</v>
      </c>
      <c r="I20" s="55">
        <v>4</v>
      </c>
      <c r="J20" s="12">
        <v>5</v>
      </c>
      <c r="K20" s="12">
        <v>10</v>
      </c>
      <c r="L20" s="12">
        <v>20</v>
      </c>
      <c r="M20" s="12">
        <v>50</v>
      </c>
      <c r="N20" s="12">
        <v>75</v>
      </c>
    </row>
    <row r="21" spans="2:16" x14ac:dyDescent="0.3">
      <c r="D21" s="18" t="s">
        <v>315</v>
      </c>
      <c r="E21" s="12" t="s">
        <v>33</v>
      </c>
      <c r="F21" s="12">
        <f t="shared" ref="F21:N21" si="0">F20*30</f>
        <v>30</v>
      </c>
      <c r="G21" s="12">
        <f t="shared" si="0"/>
        <v>60</v>
      </c>
      <c r="H21" s="12">
        <f t="shared" si="0"/>
        <v>90</v>
      </c>
      <c r="I21" s="12">
        <f t="shared" si="0"/>
        <v>120</v>
      </c>
      <c r="J21" s="12">
        <f t="shared" si="0"/>
        <v>150</v>
      </c>
      <c r="K21" s="12">
        <f t="shared" si="0"/>
        <v>300</v>
      </c>
      <c r="L21" s="12">
        <f t="shared" si="0"/>
        <v>600</v>
      </c>
      <c r="M21" s="12">
        <f t="shared" si="0"/>
        <v>1500</v>
      </c>
      <c r="N21" s="12">
        <f t="shared" si="0"/>
        <v>2250</v>
      </c>
    </row>
    <row r="22" spans="2:16" x14ac:dyDescent="0.3">
      <c r="D22" s="18"/>
    </row>
    <row r="23" spans="2:16" x14ac:dyDescent="0.3">
      <c r="D23" s="23" t="s">
        <v>209</v>
      </c>
      <c r="F23" s="34"/>
      <c r="G23" s="34"/>
      <c r="H23" s="34"/>
      <c r="I23" s="34"/>
      <c r="J23" s="34"/>
      <c r="K23" s="34"/>
      <c r="L23" s="34"/>
      <c r="M23" s="34"/>
    </row>
    <row r="24" spans="2:16" x14ac:dyDescent="0.3">
      <c r="D24" s="22" t="s">
        <v>316</v>
      </c>
      <c r="E24" s="12" t="s">
        <v>21</v>
      </c>
      <c r="F24" s="77">
        <f>7.35+0.16*7</f>
        <v>8.4699999999999989</v>
      </c>
      <c r="G24" s="50">
        <f t="shared" ref="G24:N25" si="1">F24</f>
        <v>8.4699999999999989</v>
      </c>
      <c r="H24" s="50">
        <f t="shared" si="1"/>
        <v>8.4699999999999989</v>
      </c>
      <c r="I24" s="50">
        <f t="shared" si="1"/>
        <v>8.4699999999999989</v>
      </c>
      <c r="J24" s="50">
        <f t="shared" si="1"/>
        <v>8.4699999999999989</v>
      </c>
      <c r="K24" s="50">
        <f t="shared" si="1"/>
        <v>8.4699999999999989</v>
      </c>
      <c r="L24" s="50">
        <f t="shared" si="1"/>
        <v>8.4699999999999989</v>
      </c>
      <c r="M24" s="50">
        <f t="shared" si="1"/>
        <v>8.4699999999999989</v>
      </c>
      <c r="N24" s="50">
        <f t="shared" si="1"/>
        <v>8.4699999999999989</v>
      </c>
      <c r="O24" s="21"/>
      <c r="P24" s="34"/>
    </row>
    <row r="25" spans="2:16" x14ac:dyDescent="0.3">
      <c r="D25" s="22" t="s">
        <v>317</v>
      </c>
      <c r="E25" s="12" t="s">
        <v>21</v>
      </c>
      <c r="F25" s="77">
        <f>7.35+0.16*27</f>
        <v>11.67</v>
      </c>
      <c r="G25" s="50">
        <f t="shared" si="1"/>
        <v>11.67</v>
      </c>
      <c r="H25" s="50">
        <f t="shared" si="1"/>
        <v>11.67</v>
      </c>
      <c r="I25" s="50">
        <f t="shared" si="1"/>
        <v>11.67</v>
      </c>
      <c r="J25" s="50">
        <f t="shared" si="1"/>
        <v>11.67</v>
      </c>
      <c r="K25" s="50">
        <f t="shared" si="1"/>
        <v>11.67</v>
      </c>
      <c r="L25" s="50">
        <f t="shared" si="1"/>
        <v>11.67</v>
      </c>
      <c r="M25" s="50">
        <f t="shared" si="1"/>
        <v>11.67</v>
      </c>
      <c r="N25" s="50">
        <f t="shared" si="1"/>
        <v>11.67</v>
      </c>
      <c r="O25" s="21"/>
      <c r="P25" s="34"/>
    </row>
    <row r="26" spans="2:16" x14ac:dyDescent="0.3">
      <c r="D26" s="22" t="s">
        <v>318</v>
      </c>
      <c r="F26" s="77">
        <f t="shared" ref="F26:N26" si="2">F27+F28+F29</f>
        <v>2.74</v>
      </c>
      <c r="G26" s="50">
        <f t="shared" si="2"/>
        <v>2.74</v>
      </c>
      <c r="H26" s="50">
        <f t="shared" si="2"/>
        <v>2.74</v>
      </c>
      <c r="I26" s="50">
        <f t="shared" si="2"/>
        <v>2.74</v>
      </c>
      <c r="J26" s="50">
        <f t="shared" si="2"/>
        <v>2.74</v>
      </c>
      <c r="K26" s="50">
        <f t="shared" si="2"/>
        <v>2.74</v>
      </c>
      <c r="L26" s="50">
        <f t="shared" si="2"/>
        <v>2.74</v>
      </c>
      <c r="M26" s="50">
        <f t="shared" si="2"/>
        <v>2.74</v>
      </c>
      <c r="N26" s="50">
        <f t="shared" si="2"/>
        <v>2.74</v>
      </c>
      <c r="O26" s="21"/>
      <c r="P26" s="34"/>
    </row>
    <row r="27" spans="2:16" x14ac:dyDescent="0.3">
      <c r="D27" s="107" t="s">
        <v>319</v>
      </c>
      <c r="E27" s="12" t="s">
        <v>21</v>
      </c>
      <c r="F27" s="77">
        <v>2.34</v>
      </c>
      <c r="G27" s="50">
        <f t="shared" ref="G27:N32" si="3">F27</f>
        <v>2.34</v>
      </c>
      <c r="H27" s="50">
        <f t="shared" si="3"/>
        <v>2.34</v>
      </c>
      <c r="I27" s="50">
        <f t="shared" si="3"/>
        <v>2.34</v>
      </c>
      <c r="J27" s="50">
        <f t="shared" si="3"/>
        <v>2.34</v>
      </c>
      <c r="K27" s="50">
        <f t="shared" si="3"/>
        <v>2.34</v>
      </c>
      <c r="L27" s="50">
        <f t="shared" si="3"/>
        <v>2.34</v>
      </c>
      <c r="M27" s="50">
        <f t="shared" si="3"/>
        <v>2.34</v>
      </c>
      <c r="N27" s="50">
        <f t="shared" si="3"/>
        <v>2.34</v>
      </c>
      <c r="O27" s="21"/>
      <c r="P27" s="34"/>
    </row>
    <row r="28" spans="2:16" x14ac:dyDescent="0.3">
      <c r="D28" s="107" t="s">
        <v>320</v>
      </c>
      <c r="E28" s="12" t="s">
        <v>21</v>
      </c>
      <c r="F28" s="77">
        <v>0.2</v>
      </c>
      <c r="G28" s="50">
        <f t="shared" si="3"/>
        <v>0.2</v>
      </c>
      <c r="H28" s="50">
        <f t="shared" si="3"/>
        <v>0.2</v>
      </c>
      <c r="I28" s="50">
        <f t="shared" si="3"/>
        <v>0.2</v>
      </c>
      <c r="J28" s="50">
        <f t="shared" si="3"/>
        <v>0.2</v>
      </c>
      <c r="K28" s="50">
        <f t="shared" si="3"/>
        <v>0.2</v>
      </c>
      <c r="L28" s="50">
        <f t="shared" si="3"/>
        <v>0.2</v>
      </c>
      <c r="M28" s="50">
        <f t="shared" si="3"/>
        <v>0.2</v>
      </c>
      <c r="N28" s="50">
        <f t="shared" si="3"/>
        <v>0.2</v>
      </c>
      <c r="O28" s="21"/>
      <c r="P28" s="34"/>
    </row>
    <row r="29" spans="2:16" x14ac:dyDescent="0.3">
      <c r="D29" s="107" t="s">
        <v>321</v>
      </c>
      <c r="E29" s="12" t="s">
        <v>21</v>
      </c>
      <c r="F29" s="77">
        <v>0.2</v>
      </c>
      <c r="G29" s="50">
        <f t="shared" si="3"/>
        <v>0.2</v>
      </c>
      <c r="H29" s="50">
        <f t="shared" si="3"/>
        <v>0.2</v>
      </c>
      <c r="I29" s="50">
        <f t="shared" si="3"/>
        <v>0.2</v>
      </c>
      <c r="J29" s="50">
        <f t="shared" si="3"/>
        <v>0.2</v>
      </c>
      <c r="K29" s="50">
        <f t="shared" si="3"/>
        <v>0.2</v>
      </c>
      <c r="L29" s="50">
        <f t="shared" si="3"/>
        <v>0.2</v>
      </c>
      <c r="M29" s="50">
        <f t="shared" si="3"/>
        <v>0.2</v>
      </c>
      <c r="N29" s="50">
        <f t="shared" si="3"/>
        <v>0.2</v>
      </c>
      <c r="O29" s="21"/>
      <c r="P29" s="34"/>
    </row>
    <row r="30" spans="2:16" x14ac:dyDescent="0.3">
      <c r="D30" s="107" t="s">
        <v>322</v>
      </c>
      <c r="E30" s="12" t="s">
        <v>21</v>
      </c>
      <c r="F30" s="77">
        <v>6.6</v>
      </c>
      <c r="G30" s="50">
        <f t="shared" si="3"/>
        <v>6.6</v>
      </c>
      <c r="H30" s="50">
        <f t="shared" si="3"/>
        <v>6.6</v>
      </c>
      <c r="I30" s="50">
        <f t="shared" si="3"/>
        <v>6.6</v>
      </c>
      <c r="J30" s="50">
        <f t="shared" si="3"/>
        <v>6.6</v>
      </c>
      <c r="K30" s="50">
        <f t="shared" si="3"/>
        <v>6.6</v>
      </c>
      <c r="L30" s="50">
        <f t="shared" si="3"/>
        <v>6.6</v>
      </c>
      <c r="M30" s="50">
        <f t="shared" si="3"/>
        <v>6.6</v>
      </c>
      <c r="N30" s="50">
        <f t="shared" si="3"/>
        <v>6.6</v>
      </c>
      <c r="O30" s="21"/>
      <c r="P30" s="34"/>
    </row>
    <row r="31" spans="2:16" x14ac:dyDescent="0.3">
      <c r="D31" s="107" t="s">
        <v>323</v>
      </c>
      <c r="E31" s="12" t="s">
        <v>21</v>
      </c>
      <c r="F31" s="77">
        <v>4.9000000000000004</v>
      </c>
      <c r="G31" s="50">
        <f t="shared" si="3"/>
        <v>4.9000000000000004</v>
      </c>
      <c r="H31" s="50">
        <f t="shared" si="3"/>
        <v>4.9000000000000004</v>
      </c>
      <c r="I31" s="50">
        <f t="shared" si="3"/>
        <v>4.9000000000000004</v>
      </c>
      <c r="J31" s="50">
        <f t="shared" si="3"/>
        <v>4.9000000000000004</v>
      </c>
      <c r="K31" s="50">
        <f t="shared" si="3"/>
        <v>4.9000000000000004</v>
      </c>
      <c r="L31" s="50">
        <f t="shared" si="3"/>
        <v>4.9000000000000004</v>
      </c>
      <c r="M31" s="50">
        <f t="shared" si="3"/>
        <v>4.9000000000000004</v>
      </c>
      <c r="N31" s="50">
        <f t="shared" si="3"/>
        <v>4.9000000000000004</v>
      </c>
      <c r="O31" s="21"/>
      <c r="P31" s="34"/>
    </row>
    <row r="32" spans="2:16" x14ac:dyDescent="0.3">
      <c r="D32" s="107" t="s">
        <v>324</v>
      </c>
      <c r="E32" s="12" t="s">
        <v>21</v>
      </c>
      <c r="F32" s="108">
        <v>0.04</v>
      </c>
      <c r="G32" s="109">
        <f t="shared" si="3"/>
        <v>0.04</v>
      </c>
      <c r="H32" s="109">
        <f t="shared" si="3"/>
        <v>0.04</v>
      </c>
      <c r="I32" s="109">
        <f t="shared" si="3"/>
        <v>0.04</v>
      </c>
      <c r="J32" s="109">
        <f t="shared" si="3"/>
        <v>0.04</v>
      </c>
      <c r="K32" s="109">
        <f t="shared" si="3"/>
        <v>0.04</v>
      </c>
      <c r="L32" s="109">
        <f t="shared" si="3"/>
        <v>0.04</v>
      </c>
      <c r="M32" s="109">
        <f t="shared" si="3"/>
        <v>0.04</v>
      </c>
      <c r="N32" s="109">
        <f t="shared" si="3"/>
        <v>0.04</v>
      </c>
      <c r="O32" s="12" t="s">
        <v>325</v>
      </c>
    </row>
    <row r="33" spans="4:16" x14ac:dyDescent="0.3">
      <c r="D33" s="107"/>
      <c r="F33" s="77"/>
      <c r="G33" s="50"/>
      <c r="H33" s="50"/>
      <c r="I33" s="50"/>
      <c r="J33" s="50"/>
      <c r="K33" s="50"/>
      <c r="L33" s="50"/>
      <c r="M33" s="50"/>
      <c r="N33" s="50"/>
      <c r="O33" s="21"/>
      <c r="P33" s="34"/>
    </row>
    <row r="34" spans="4:16" x14ac:dyDescent="0.3">
      <c r="D34" s="107" t="s">
        <v>326</v>
      </c>
      <c r="E34" s="12" t="s">
        <v>21</v>
      </c>
      <c r="F34" s="77">
        <v>18.5</v>
      </c>
      <c r="G34" s="52">
        <f t="shared" ref="G34:N34" si="4">F34</f>
        <v>18.5</v>
      </c>
      <c r="H34" s="52">
        <f t="shared" si="4"/>
        <v>18.5</v>
      </c>
      <c r="I34" s="52">
        <f t="shared" si="4"/>
        <v>18.5</v>
      </c>
      <c r="J34" s="52">
        <f t="shared" si="4"/>
        <v>18.5</v>
      </c>
      <c r="K34" s="52">
        <f t="shared" si="4"/>
        <v>18.5</v>
      </c>
      <c r="L34" s="52">
        <f t="shared" si="4"/>
        <v>18.5</v>
      </c>
      <c r="M34" s="52">
        <f t="shared" si="4"/>
        <v>18.5</v>
      </c>
      <c r="N34" s="52">
        <f t="shared" si="4"/>
        <v>18.5</v>
      </c>
      <c r="O34" s="21" t="s">
        <v>327</v>
      </c>
      <c r="P34" s="34"/>
    </row>
    <row r="35" spans="4:16" x14ac:dyDescent="0.3">
      <c r="D35" s="22"/>
      <c r="F35" s="51"/>
      <c r="G35" s="51"/>
      <c r="H35" s="51"/>
      <c r="I35" s="51"/>
      <c r="J35" s="51"/>
      <c r="K35" s="51"/>
      <c r="L35" s="51"/>
      <c r="M35" s="51"/>
    </row>
    <row r="36" spans="4:16" x14ac:dyDescent="0.3">
      <c r="D36" s="12" t="s">
        <v>328</v>
      </c>
    </row>
    <row r="37" spans="4:16" x14ac:dyDescent="0.3">
      <c r="D37" s="22" t="s">
        <v>316</v>
      </c>
      <c r="E37" s="12" t="s">
        <v>21</v>
      </c>
      <c r="F37" s="108">
        <v>15.88</v>
      </c>
      <c r="G37" s="108">
        <f>F37</f>
        <v>15.88</v>
      </c>
      <c r="H37" s="108">
        <f>G37</f>
        <v>15.88</v>
      </c>
      <c r="I37" s="108">
        <f>H37</f>
        <v>15.88</v>
      </c>
      <c r="J37" s="108">
        <f>I37</f>
        <v>15.88</v>
      </c>
      <c r="K37" s="108">
        <v>10.71</v>
      </c>
      <c r="L37" s="108">
        <v>8.0299999999999994</v>
      </c>
      <c r="M37" s="108">
        <v>6.43</v>
      </c>
      <c r="N37" s="108">
        <v>6.09</v>
      </c>
      <c r="O37" s="12" t="s">
        <v>329</v>
      </c>
    </row>
    <row r="38" spans="4:16" x14ac:dyDescent="0.3">
      <c r="D38" s="22" t="s">
        <v>317</v>
      </c>
      <c r="E38" s="12" t="s">
        <v>21</v>
      </c>
      <c r="F38" s="109">
        <f t="shared" ref="F38:N38" si="5">F37+0.15*20</f>
        <v>18.880000000000003</v>
      </c>
      <c r="G38" s="109">
        <f t="shared" si="5"/>
        <v>18.880000000000003</v>
      </c>
      <c r="H38" s="109">
        <f t="shared" si="5"/>
        <v>18.880000000000003</v>
      </c>
      <c r="I38" s="109">
        <f t="shared" si="5"/>
        <v>18.880000000000003</v>
      </c>
      <c r="J38" s="109">
        <f t="shared" si="5"/>
        <v>18.880000000000003</v>
      </c>
      <c r="K38" s="109">
        <f t="shared" si="5"/>
        <v>13.71</v>
      </c>
      <c r="L38" s="109">
        <f t="shared" si="5"/>
        <v>11.03</v>
      </c>
      <c r="M38" s="109">
        <f t="shared" si="5"/>
        <v>9.43</v>
      </c>
      <c r="N38" s="109">
        <f t="shared" si="5"/>
        <v>9.09</v>
      </c>
    </row>
    <row r="39" spans="4:16" x14ac:dyDescent="0.3">
      <c r="D39" s="22" t="s">
        <v>318</v>
      </c>
      <c r="E39" s="12" t="s">
        <v>21</v>
      </c>
      <c r="F39" s="108">
        <f t="shared" ref="F39:N39" si="6">F40+F41+F42</f>
        <v>2.6500000000000004</v>
      </c>
      <c r="G39" s="109">
        <f t="shared" si="6"/>
        <v>2.6500000000000004</v>
      </c>
      <c r="H39" s="109">
        <f t="shared" si="6"/>
        <v>2.6500000000000004</v>
      </c>
      <c r="I39" s="109">
        <f t="shared" si="6"/>
        <v>2.6500000000000004</v>
      </c>
      <c r="J39" s="109">
        <f t="shared" si="6"/>
        <v>2.6500000000000004</v>
      </c>
      <c r="K39" s="109">
        <f t="shared" si="6"/>
        <v>2.6500000000000004</v>
      </c>
      <c r="L39" s="109">
        <f t="shared" si="6"/>
        <v>2.6500000000000004</v>
      </c>
      <c r="M39" s="109">
        <f t="shared" si="6"/>
        <v>2.6500000000000004</v>
      </c>
      <c r="N39" s="109">
        <f t="shared" si="6"/>
        <v>2.6500000000000004</v>
      </c>
    </row>
    <row r="40" spans="4:16" x14ac:dyDescent="0.3">
      <c r="D40" s="107" t="s">
        <v>319</v>
      </c>
      <c r="E40" s="12" t="s">
        <v>21</v>
      </c>
      <c r="F40" s="108">
        <v>2.25</v>
      </c>
      <c r="G40" s="109">
        <f t="shared" ref="G40:N45" si="7">F40</f>
        <v>2.25</v>
      </c>
      <c r="H40" s="109">
        <f t="shared" si="7"/>
        <v>2.25</v>
      </c>
      <c r="I40" s="109">
        <f t="shared" si="7"/>
        <v>2.25</v>
      </c>
      <c r="J40" s="109">
        <f t="shared" si="7"/>
        <v>2.25</v>
      </c>
      <c r="K40" s="109">
        <f t="shared" si="7"/>
        <v>2.25</v>
      </c>
      <c r="L40" s="109">
        <f t="shared" si="7"/>
        <v>2.25</v>
      </c>
      <c r="M40" s="109">
        <f t="shared" si="7"/>
        <v>2.25</v>
      </c>
      <c r="N40" s="109">
        <f t="shared" si="7"/>
        <v>2.25</v>
      </c>
    </row>
    <row r="41" spans="4:16" x14ac:dyDescent="0.3">
      <c r="D41" s="107" t="s">
        <v>320</v>
      </c>
      <c r="E41" s="12" t="s">
        <v>21</v>
      </c>
      <c r="F41" s="108">
        <v>0.2</v>
      </c>
      <c r="G41" s="109">
        <f t="shared" si="7"/>
        <v>0.2</v>
      </c>
      <c r="H41" s="109">
        <f t="shared" si="7"/>
        <v>0.2</v>
      </c>
      <c r="I41" s="109">
        <f t="shared" si="7"/>
        <v>0.2</v>
      </c>
      <c r="J41" s="109">
        <f t="shared" si="7"/>
        <v>0.2</v>
      </c>
      <c r="K41" s="109">
        <f t="shared" si="7"/>
        <v>0.2</v>
      </c>
      <c r="L41" s="109">
        <f t="shared" si="7"/>
        <v>0.2</v>
      </c>
      <c r="M41" s="109">
        <f t="shared" si="7"/>
        <v>0.2</v>
      </c>
      <c r="N41" s="109">
        <f t="shared" si="7"/>
        <v>0.2</v>
      </c>
    </row>
    <row r="42" spans="4:16" x14ac:dyDescent="0.3">
      <c r="D42" s="107" t="s">
        <v>321</v>
      </c>
      <c r="E42" s="12" t="s">
        <v>21</v>
      </c>
      <c r="F42" s="108">
        <v>0.2</v>
      </c>
      <c r="G42" s="109">
        <f t="shared" si="7"/>
        <v>0.2</v>
      </c>
      <c r="H42" s="109">
        <f t="shared" si="7"/>
        <v>0.2</v>
      </c>
      <c r="I42" s="109">
        <f t="shared" si="7"/>
        <v>0.2</v>
      </c>
      <c r="J42" s="109">
        <f t="shared" si="7"/>
        <v>0.2</v>
      </c>
      <c r="K42" s="109">
        <f t="shared" si="7"/>
        <v>0.2</v>
      </c>
      <c r="L42" s="109">
        <f t="shared" si="7"/>
        <v>0.2</v>
      </c>
      <c r="M42" s="109">
        <f t="shared" si="7"/>
        <v>0.2</v>
      </c>
      <c r="N42" s="109">
        <f t="shared" si="7"/>
        <v>0.2</v>
      </c>
    </row>
    <row r="43" spans="4:16" x14ac:dyDescent="0.3">
      <c r="D43" s="107" t="s">
        <v>322</v>
      </c>
      <c r="E43" s="12" t="s">
        <v>21</v>
      </c>
      <c r="F43" s="108">
        <v>5.0999999999999996</v>
      </c>
      <c r="G43" s="109">
        <f t="shared" si="7"/>
        <v>5.0999999999999996</v>
      </c>
      <c r="H43" s="109">
        <f t="shared" si="7"/>
        <v>5.0999999999999996</v>
      </c>
      <c r="I43" s="109">
        <f t="shared" si="7"/>
        <v>5.0999999999999996</v>
      </c>
      <c r="J43" s="109">
        <f t="shared" si="7"/>
        <v>5.0999999999999996</v>
      </c>
      <c r="K43" s="109">
        <f t="shared" si="7"/>
        <v>5.0999999999999996</v>
      </c>
      <c r="L43" s="109">
        <f t="shared" si="7"/>
        <v>5.0999999999999996</v>
      </c>
      <c r="M43" s="109">
        <f t="shared" si="7"/>
        <v>5.0999999999999996</v>
      </c>
      <c r="N43" s="109">
        <f t="shared" si="7"/>
        <v>5.0999999999999996</v>
      </c>
    </row>
    <row r="44" spans="4:16" x14ac:dyDescent="0.3">
      <c r="D44" s="107" t="s">
        <v>323</v>
      </c>
      <c r="E44" s="12" t="s">
        <v>21</v>
      </c>
      <c r="F44" s="108">
        <v>2.95</v>
      </c>
      <c r="G44" s="109">
        <f t="shared" si="7"/>
        <v>2.95</v>
      </c>
      <c r="H44" s="109">
        <f t="shared" si="7"/>
        <v>2.95</v>
      </c>
      <c r="I44" s="109">
        <f t="shared" si="7"/>
        <v>2.95</v>
      </c>
      <c r="J44" s="109">
        <f t="shared" si="7"/>
        <v>2.95</v>
      </c>
      <c r="K44" s="109">
        <f t="shared" si="7"/>
        <v>2.95</v>
      </c>
      <c r="L44" s="109">
        <f t="shared" si="7"/>
        <v>2.95</v>
      </c>
      <c r="M44" s="109">
        <f t="shared" si="7"/>
        <v>2.95</v>
      </c>
      <c r="N44" s="109">
        <f t="shared" si="7"/>
        <v>2.95</v>
      </c>
    </row>
    <row r="45" spans="4:16" x14ac:dyDescent="0.3">
      <c r="D45" s="107" t="s">
        <v>324</v>
      </c>
      <c r="E45" s="12" t="s">
        <v>21</v>
      </c>
      <c r="F45" s="108">
        <v>0.04</v>
      </c>
      <c r="G45" s="109">
        <f t="shared" si="7"/>
        <v>0.04</v>
      </c>
      <c r="H45" s="109">
        <f t="shared" si="7"/>
        <v>0.04</v>
      </c>
      <c r="I45" s="109">
        <f t="shared" si="7"/>
        <v>0.04</v>
      </c>
      <c r="J45" s="109">
        <f t="shared" si="7"/>
        <v>0.04</v>
      </c>
      <c r="K45" s="109">
        <f t="shared" si="7"/>
        <v>0.04</v>
      </c>
      <c r="L45" s="109">
        <f t="shared" si="7"/>
        <v>0.04</v>
      </c>
      <c r="M45" s="109">
        <f t="shared" si="7"/>
        <v>0.04</v>
      </c>
      <c r="N45" s="109">
        <f t="shared" si="7"/>
        <v>0.04</v>
      </c>
      <c r="O45" s="12" t="s">
        <v>325</v>
      </c>
    </row>
    <row r="46" spans="4:16" x14ac:dyDescent="0.3">
      <c r="D46" s="107"/>
      <c r="F46" s="77"/>
      <c r="G46" s="52"/>
      <c r="H46" s="52"/>
      <c r="I46" s="52"/>
      <c r="J46" s="52"/>
      <c r="K46" s="52"/>
      <c r="L46" s="52"/>
      <c r="M46" s="52"/>
      <c r="N46" s="52"/>
    </row>
    <row r="47" spans="4:16" x14ac:dyDescent="0.3">
      <c r="D47" s="107" t="s">
        <v>326</v>
      </c>
      <c r="E47" s="12" t="s">
        <v>21</v>
      </c>
      <c r="F47" s="77">
        <v>18.5</v>
      </c>
      <c r="G47" s="52">
        <f t="shared" ref="G47:N47" si="8">F47</f>
        <v>18.5</v>
      </c>
      <c r="H47" s="52">
        <f t="shared" si="8"/>
        <v>18.5</v>
      </c>
      <c r="I47" s="52">
        <f t="shared" si="8"/>
        <v>18.5</v>
      </c>
      <c r="J47" s="52">
        <f t="shared" si="8"/>
        <v>18.5</v>
      </c>
      <c r="K47" s="52">
        <f t="shared" si="8"/>
        <v>18.5</v>
      </c>
      <c r="L47" s="52">
        <f t="shared" si="8"/>
        <v>18.5</v>
      </c>
      <c r="M47" s="52">
        <f t="shared" si="8"/>
        <v>18.5</v>
      </c>
      <c r="N47" s="52">
        <f t="shared" si="8"/>
        <v>18.5</v>
      </c>
    </row>
    <row r="48" spans="4:16" x14ac:dyDescent="0.3">
      <c r="D48" s="107"/>
      <c r="F48" s="77"/>
      <c r="G48" s="52"/>
      <c r="H48" s="52"/>
      <c r="I48" s="52"/>
      <c r="J48" s="52"/>
      <c r="K48" s="52"/>
      <c r="L48" s="52"/>
      <c r="M48" s="52"/>
      <c r="N48" s="52"/>
    </row>
    <row r="49" spans="2:19" x14ac:dyDescent="0.3">
      <c r="D49" s="107"/>
      <c r="F49" s="77"/>
      <c r="G49" s="77"/>
      <c r="H49" s="77"/>
      <c r="I49" s="77"/>
      <c r="J49" s="77"/>
      <c r="K49" s="77"/>
      <c r="L49" s="77"/>
      <c r="M49" s="77"/>
      <c r="N49" s="55"/>
    </row>
    <row r="50" spans="2:19" x14ac:dyDescent="0.3">
      <c r="D50" s="22" t="s">
        <v>319</v>
      </c>
      <c r="E50" s="12" t="s">
        <v>21</v>
      </c>
      <c r="F50" s="29">
        <v>2.25</v>
      </c>
      <c r="G50" s="50">
        <v>2.25</v>
      </c>
      <c r="H50" s="50">
        <v>2.25</v>
      </c>
      <c r="I50" s="57">
        <v>2.25</v>
      </c>
      <c r="J50" s="57">
        <v>2.25</v>
      </c>
      <c r="K50" s="50">
        <v>2.25</v>
      </c>
      <c r="L50" s="50">
        <v>2.25</v>
      </c>
      <c r="M50" s="50">
        <v>2.25</v>
      </c>
    </row>
    <row r="51" spans="2:19" x14ac:dyDescent="0.3">
      <c r="D51" s="18" t="s">
        <v>324</v>
      </c>
      <c r="E51" s="12" t="s">
        <v>21</v>
      </c>
      <c r="F51" s="29">
        <v>0.04</v>
      </c>
      <c r="G51" s="50">
        <v>0.04</v>
      </c>
      <c r="H51" s="50">
        <v>0.04</v>
      </c>
      <c r="I51" s="50">
        <v>0.04</v>
      </c>
      <c r="J51" s="57">
        <v>0.04</v>
      </c>
      <c r="K51" s="50">
        <v>0.04</v>
      </c>
      <c r="L51" s="50">
        <v>0.04</v>
      </c>
      <c r="M51" s="50">
        <v>0.04</v>
      </c>
    </row>
    <row r="52" spans="2:19" x14ac:dyDescent="0.3">
      <c r="D52" s="18" t="s">
        <v>330</v>
      </c>
      <c r="E52" s="12" t="s">
        <v>21</v>
      </c>
      <c r="F52" s="26">
        <v>0</v>
      </c>
      <c r="G52" s="52">
        <v>0</v>
      </c>
      <c r="H52" s="52">
        <v>0</v>
      </c>
      <c r="I52" s="52">
        <v>0</v>
      </c>
      <c r="J52" s="61">
        <v>0</v>
      </c>
      <c r="K52" s="52">
        <v>0</v>
      </c>
      <c r="L52" s="52">
        <v>0</v>
      </c>
      <c r="M52" s="52">
        <v>0</v>
      </c>
    </row>
    <row r="53" spans="2:19" x14ac:dyDescent="0.3">
      <c r="D53" s="17" t="s">
        <v>331</v>
      </c>
      <c r="E53" s="12" t="s">
        <v>21</v>
      </c>
      <c r="F53" s="53">
        <v>28.880018761726081</v>
      </c>
      <c r="G53" s="53">
        <v>18.40287054409005</v>
      </c>
      <c r="H53" s="53">
        <v>14.99874296435272</v>
      </c>
      <c r="I53" s="53">
        <v>13.202120075046899</v>
      </c>
      <c r="J53" s="53">
        <v>12.37</v>
      </c>
      <c r="K53" s="53">
        <v>12.067410881801131</v>
      </c>
      <c r="L53" s="53">
        <v>11.424409005628521</v>
      </c>
      <c r="M53" s="53">
        <v>10.956044208008731</v>
      </c>
    </row>
    <row r="54" spans="2:19" x14ac:dyDescent="0.3">
      <c r="D54" s="22" t="s">
        <v>332</v>
      </c>
      <c r="F54" s="51">
        <v>1</v>
      </c>
      <c r="G54" s="51">
        <v>0.74611050059458972</v>
      </c>
      <c r="H54" s="51">
        <v>0.62367933995210922</v>
      </c>
      <c r="I54" s="51">
        <v>0.57249458244643059</v>
      </c>
      <c r="J54" s="51">
        <v>0.54958002834740005</v>
      </c>
      <c r="K54" s="51">
        <v>0.52555905538365899</v>
      </c>
      <c r="L54" s="51">
        <v>0.51177448407648429</v>
      </c>
      <c r="M54" s="51">
        <v>0.3664333289700607</v>
      </c>
    </row>
    <row r="55" spans="2:19" x14ac:dyDescent="0.3">
      <c r="D55" s="22"/>
      <c r="F55" s="51"/>
      <c r="G55" s="51"/>
      <c r="H55" s="51"/>
      <c r="I55" s="51"/>
      <c r="J55" s="51"/>
      <c r="K55" s="51"/>
      <c r="L55" s="51"/>
      <c r="M55" s="51"/>
    </row>
    <row r="56" spans="2:19" x14ac:dyDescent="0.3">
      <c r="B56" s="30" t="s">
        <v>333</v>
      </c>
      <c r="D56" s="28" t="s">
        <v>334</v>
      </c>
    </row>
    <row r="58" spans="2:19" x14ac:dyDescent="0.3">
      <c r="D58" s="12" t="s">
        <v>335</v>
      </c>
      <c r="E58" s="12" t="s">
        <v>336</v>
      </c>
      <c r="F58" s="60">
        <v>8.8999999999999999E-3</v>
      </c>
      <c r="L58" s="12" t="s">
        <v>337</v>
      </c>
    </row>
    <row r="59" spans="2:19" x14ac:dyDescent="0.3">
      <c r="D59" s="12" t="s">
        <v>338</v>
      </c>
      <c r="E59" s="12" t="s">
        <v>336</v>
      </c>
      <c r="F59" s="60">
        <v>1.6899999999999998E-2</v>
      </c>
      <c r="L59" s="12" t="s">
        <v>337</v>
      </c>
    </row>
    <row r="60" spans="2:19" x14ac:dyDescent="0.3">
      <c r="D60" s="12" t="s">
        <v>339</v>
      </c>
      <c r="E60" s="12" t="s">
        <v>336</v>
      </c>
      <c r="F60" s="60">
        <v>1.4999999999999999E-2</v>
      </c>
      <c r="L60" s="12" t="s">
        <v>337</v>
      </c>
      <c r="P60" s="12">
        <f>70</f>
        <v>70</v>
      </c>
      <c r="Q60" s="99">
        <v>1.4999999999999999E-2</v>
      </c>
      <c r="R60" s="12">
        <f>P60*Q60</f>
        <v>1.05</v>
      </c>
      <c r="S60" s="100">
        <f>P60-R60</f>
        <v>68.95</v>
      </c>
    </row>
    <row r="61" spans="2:19" x14ac:dyDescent="0.3">
      <c r="P61" s="12">
        <f>P60</f>
        <v>70</v>
      </c>
      <c r="Q61" s="101">
        <f>R61/P61</f>
        <v>3.6142857142857157E-2</v>
      </c>
      <c r="R61" s="12">
        <f>P61-S61</f>
        <v>2.5300000000000011</v>
      </c>
      <c r="S61" s="12">
        <v>67.47</v>
      </c>
    </row>
    <row r="62" spans="2:19" x14ac:dyDescent="0.3">
      <c r="D62" s="12" t="s">
        <v>335</v>
      </c>
      <c r="E62" s="12" t="s">
        <v>340</v>
      </c>
      <c r="F62" s="54">
        <v>0.08</v>
      </c>
      <c r="L62" s="12" t="s">
        <v>337</v>
      </c>
    </row>
    <row r="63" spans="2:19" x14ac:dyDescent="0.3">
      <c r="D63" s="12" t="s">
        <v>338</v>
      </c>
      <c r="E63" s="12" t="s">
        <v>340</v>
      </c>
      <c r="F63" s="54">
        <v>0.25</v>
      </c>
      <c r="L63" s="12" t="s">
        <v>337</v>
      </c>
    </row>
    <row r="64" spans="2:19" x14ac:dyDescent="0.3">
      <c r="D64" s="12" t="s">
        <v>339</v>
      </c>
      <c r="E64" s="12" t="s">
        <v>340</v>
      </c>
      <c r="F64" s="54">
        <v>0.35</v>
      </c>
      <c r="L64" s="12" t="s">
        <v>337</v>
      </c>
      <c r="S64" s="100">
        <f>S61+S60</f>
        <v>136.42000000000002</v>
      </c>
    </row>
    <row r="66" spans="2:6" x14ac:dyDescent="0.3">
      <c r="D66" s="12" t="s">
        <v>341</v>
      </c>
    </row>
    <row r="68" spans="2:6" x14ac:dyDescent="0.3">
      <c r="D68" s="12" t="s">
        <v>335</v>
      </c>
      <c r="E68" s="12" t="s">
        <v>342</v>
      </c>
      <c r="F68" s="58">
        <v>0.7</v>
      </c>
    </row>
    <row r="69" spans="2:6" x14ac:dyDescent="0.3">
      <c r="D69" s="12" t="s">
        <v>338</v>
      </c>
      <c r="E69" s="12" t="s">
        <v>342</v>
      </c>
      <c r="F69" s="58">
        <v>0.15</v>
      </c>
    </row>
    <row r="70" spans="2:6" x14ac:dyDescent="0.3">
      <c r="D70" s="12" t="s">
        <v>339</v>
      </c>
      <c r="E70" s="12" t="s">
        <v>342</v>
      </c>
      <c r="F70" s="58">
        <v>0.15</v>
      </c>
    </row>
    <row r="74" spans="2:6" x14ac:dyDescent="0.3">
      <c r="B74" s="30" t="s">
        <v>343</v>
      </c>
      <c r="D74" s="28" t="s">
        <v>344</v>
      </c>
    </row>
    <row r="76" spans="2:6" x14ac:dyDescent="0.3">
      <c r="D76" s="12" t="s">
        <v>345</v>
      </c>
      <c r="E76" s="14" t="s">
        <v>21</v>
      </c>
      <c r="F76" s="55">
        <v>500</v>
      </c>
    </row>
    <row r="77" spans="2:6" x14ac:dyDescent="0.3">
      <c r="D77" s="12" t="s">
        <v>346</v>
      </c>
      <c r="E77" s="12" t="s">
        <v>347</v>
      </c>
      <c r="F77" s="58">
        <v>0.03</v>
      </c>
    </row>
    <row r="81" spans="2:9" x14ac:dyDescent="0.3">
      <c r="B81" s="30" t="s">
        <v>348</v>
      </c>
      <c r="D81" s="28" t="s">
        <v>138</v>
      </c>
    </row>
    <row r="82" spans="2:9" x14ac:dyDescent="0.3">
      <c r="F82" s="8">
        <v>2026</v>
      </c>
      <c r="G82" s="8">
        <f>F82+1</f>
        <v>2027</v>
      </c>
      <c r="H82" s="8">
        <f>G82+1</f>
        <v>2028</v>
      </c>
      <c r="I82" s="8">
        <v>2029</v>
      </c>
    </row>
    <row r="83" spans="2:9" x14ac:dyDescent="0.3">
      <c r="D83" s="12" t="s">
        <v>349</v>
      </c>
      <c r="F83" s="58">
        <v>0.1</v>
      </c>
      <c r="G83" s="34">
        <v>0.1</v>
      </c>
      <c r="H83" s="34">
        <v>0.1</v>
      </c>
      <c r="I83" s="34">
        <v>0.1</v>
      </c>
    </row>
    <row r="84" spans="2:9" x14ac:dyDescent="0.3">
      <c r="D84" s="12" t="s">
        <v>350</v>
      </c>
      <c r="F84" s="58">
        <v>0.02</v>
      </c>
      <c r="G84" s="34">
        <v>0.04</v>
      </c>
      <c r="H84" s="34">
        <v>0.06</v>
      </c>
      <c r="I84" s="34">
        <v>0.08</v>
      </c>
    </row>
    <row r="87" spans="2:9" x14ac:dyDescent="0.3">
      <c r="B87" s="30">
        <v>2.2000000000000002</v>
      </c>
      <c r="D87" s="28" t="s">
        <v>351</v>
      </c>
    </row>
    <row r="89" spans="2:9" x14ac:dyDescent="0.3">
      <c r="D89" s="17" t="s">
        <v>352</v>
      </c>
    </row>
    <row r="90" spans="2:9" x14ac:dyDescent="0.3">
      <c r="D90" s="12" t="s">
        <v>268</v>
      </c>
      <c r="E90" s="12" t="s">
        <v>353</v>
      </c>
      <c r="F90" s="120">
        <v>0.185</v>
      </c>
    </row>
    <row r="91" spans="2:9" x14ac:dyDescent="0.3">
      <c r="D91" s="12" t="s">
        <v>269</v>
      </c>
      <c r="E91" s="12" t="s">
        <v>353</v>
      </c>
      <c r="F91" s="120">
        <v>6.8000000000000005E-2</v>
      </c>
    </row>
    <row r="92" spans="2:9" x14ac:dyDescent="0.3">
      <c r="D92" s="12" t="s">
        <v>354</v>
      </c>
      <c r="E92" s="12" t="s">
        <v>353</v>
      </c>
      <c r="F92" s="120">
        <v>1.5299999999999999E-2</v>
      </c>
    </row>
    <row r="93" spans="2:9" x14ac:dyDescent="0.3">
      <c r="D93" s="12" t="s">
        <v>355</v>
      </c>
      <c r="E93" s="12" t="s">
        <v>353</v>
      </c>
      <c r="F93" s="121">
        <f>SUM(F90:F92)</f>
        <v>0.26829999999999998</v>
      </c>
    </row>
    <row r="94" spans="2:9" x14ac:dyDescent="0.3">
      <c r="D94" s="12" t="s">
        <v>356</v>
      </c>
      <c r="E94" s="12" t="s">
        <v>357</v>
      </c>
      <c r="F94" s="122">
        <v>12.95</v>
      </c>
    </row>
    <row r="95" spans="2:9" x14ac:dyDescent="0.3">
      <c r="D95" s="12" t="s">
        <v>358</v>
      </c>
      <c r="E95" s="12" t="s">
        <v>357</v>
      </c>
      <c r="F95" s="122">
        <v>551.1</v>
      </c>
    </row>
    <row r="96" spans="2:9" x14ac:dyDescent="0.3">
      <c r="D96" s="12" t="s">
        <v>359</v>
      </c>
      <c r="E96" s="12" t="s">
        <v>357</v>
      </c>
      <c r="F96" s="122">
        <v>8085</v>
      </c>
    </row>
    <row r="98" spans="4:8" x14ac:dyDescent="0.3">
      <c r="D98" s="17" t="s">
        <v>360</v>
      </c>
    </row>
    <row r="99" spans="4:8" x14ac:dyDescent="0.3">
      <c r="F99" s="123" t="s">
        <v>361</v>
      </c>
      <c r="G99" s="123" t="s">
        <v>362</v>
      </c>
      <c r="H99" s="123" t="s">
        <v>363</v>
      </c>
    </row>
    <row r="100" spans="4:8" x14ac:dyDescent="0.3">
      <c r="D100" s="12" t="s">
        <v>364</v>
      </c>
      <c r="F100" s="124">
        <v>0</v>
      </c>
      <c r="G100" s="124">
        <v>13539</v>
      </c>
      <c r="H100" s="125">
        <v>0</v>
      </c>
    </row>
    <row r="101" spans="4:8" x14ac:dyDescent="0.3">
      <c r="D101" s="12" t="s">
        <v>365</v>
      </c>
      <c r="F101" s="126">
        <f t="shared" ref="F101:F106" si="9">G100</f>
        <v>13539</v>
      </c>
      <c r="G101" s="124">
        <v>21992</v>
      </c>
      <c r="H101" s="125">
        <v>0.2</v>
      </c>
    </row>
    <row r="102" spans="4:8" x14ac:dyDescent="0.3">
      <c r="D102" s="12" t="s">
        <v>366</v>
      </c>
      <c r="F102" s="126">
        <f t="shared" si="9"/>
        <v>21992</v>
      </c>
      <c r="G102" s="124">
        <v>36458</v>
      </c>
      <c r="H102" s="125">
        <v>0.3</v>
      </c>
    </row>
    <row r="103" spans="4:8" x14ac:dyDescent="0.3">
      <c r="D103" s="12" t="s">
        <v>367</v>
      </c>
      <c r="F103" s="126">
        <f t="shared" si="9"/>
        <v>36458</v>
      </c>
      <c r="G103" s="124">
        <v>70365</v>
      </c>
      <c r="H103" s="125">
        <v>0.4</v>
      </c>
    </row>
    <row r="104" spans="4:8" x14ac:dyDescent="0.3">
      <c r="D104" s="12" t="s">
        <v>368</v>
      </c>
      <c r="F104" s="126">
        <f t="shared" si="9"/>
        <v>70365</v>
      </c>
      <c r="G104" s="124">
        <v>104859</v>
      </c>
      <c r="H104" s="125">
        <v>0.48</v>
      </c>
    </row>
    <row r="105" spans="4:8" x14ac:dyDescent="0.3">
      <c r="D105" s="12" t="s">
        <v>369</v>
      </c>
      <c r="F105" s="126">
        <f t="shared" si="9"/>
        <v>104859</v>
      </c>
      <c r="G105" s="124">
        <v>1000000</v>
      </c>
      <c r="H105" s="125">
        <v>0.5</v>
      </c>
    </row>
    <row r="106" spans="4:8" x14ac:dyDescent="0.3">
      <c r="D106" s="12" t="s">
        <v>370</v>
      </c>
      <c r="F106" s="126">
        <f t="shared" si="9"/>
        <v>1000000</v>
      </c>
      <c r="G106" s="124">
        <v>999999999</v>
      </c>
      <c r="H106" s="125">
        <v>0.55000000000000004</v>
      </c>
    </row>
    <row r="108" spans="4:8" x14ac:dyDescent="0.3">
      <c r="D108" s="17" t="s">
        <v>371</v>
      </c>
    </row>
    <row r="109" spans="4:8" x14ac:dyDescent="0.3">
      <c r="D109" s="12" t="s">
        <v>372</v>
      </c>
      <c r="E109" s="12" t="s">
        <v>373</v>
      </c>
      <c r="F109" s="125">
        <v>0.15</v>
      </c>
    </row>
    <row r="110" spans="4:8" x14ac:dyDescent="0.3">
      <c r="D110" s="12" t="s">
        <v>374</v>
      </c>
      <c r="E110" s="12" t="s">
        <v>21</v>
      </c>
      <c r="F110" s="124">
        <v>33000</v>
      </c>
    </row>
    <row r="111" spans="4:8" x14ac:dyDescent="0.3">
      <c r="D111" s="12" t="s">
        <v>375</v>
      </c>
      <c r="E111" s="12" t="s">
        <v>21</v>
      </c>
      <c r="F111" s="127">
        <f>F109*F110</f>
        <v>4950</v>
      </c>
    </row>
    <row r="112" spans="4:8" x14ac:dyDescent="0.3">
      <c r="D112" s="12" t="s">
        <v>376</v>
      </c>
      <c r="E112" s="12" t="s">
        <v>377</v>
      </c>
      <c r="F112" s="125">
        <v>1</v>
      </c>
    </row>
    <row r="114" spans="4:15" x14ac:dyDescent="0.3">
      <c r="D114" t="s">
        <v>378</v>
      </c>
      <c r="E114" t="s">
        <v>21</v>
      </c>
      <c r="F114">
        <v>4.99</v>
      </c>
      <c r="O114" t="s">
        <v>379</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J6"/>
  <sheetViews>
    <sheetView workbookViewId="0">
      <selection activeCell="J6" sqref="J6"/>
    </sheetView>
  </sheetViews>
  <sheetFormatPr defaultRowHeight="14.4" x14ac:dyDescent="0.3"/>
  <cols>
    <col min="2" max="2" width="14.77734375" customWidth="1"/>
    <col min="3" max="3" width="12" customWidth="1"/>
    <col min="4" max="4" width="21.77734375" customWidth="1"/>
  </cols>
  <sheetData>
    <row r="3" spans="1:10" x14ac:dyDescent="0.3">
      <c r="E3" s="184" t="s">
        <v>380</v>
      </c>
      <c r="F3" s="185"/>
      <c r="G3" s="185"/>
      <c r="H3" s="184" t="s">
        <v>381</v>
      </c>
      <c r="I3" s="185"/>
      <c r="J3" s="185"/>
    </row>
    <row r="4" spans="1:10" x14ac:dyDescent="0.3">
      <c r="B4" t="s">
        <v>382</v>
      </c>
      <c r="C4" t="s">
        <v>383</v>
      </c>
      <c r="D4" t="s">
        <v>384</v>
      </c>
      <c r="E4" t="s">
        <v>385</v>
      </c>
      <c r="F4" t="s">
        <v>386</v>
      </c>
      <c r="G4" t="s">
        <v>387</v>
      </c>
      <c r="H4" t="s">
        <v>388</v>
      </c>
      <c r="I4" t="s">
        <v>389</v>
      </c>
      <c r="J4" t="s">
        <v>390</v>
      </c>
    </row>
    <row r="5" spans="1:10" x14ac:dyDescent="0.3">
      <c r="A5" t="s">
        <v>391</v>
      </c>
      <c r="B5" t="s">
        <v>392</v>
      </c>
      <c r="C5">
        <v>43</v>
      </c>
      <c r="D5">
        <v>56</v>
      </c>
      <c r="E5">
        <v>2.99</v>
      </c>
      <c r="F5" t="s">
        <v>393</v>
      </c>
      <c r="G5" t="s">
        <v>394</v>
      </c>
      <c r="H5" t="s">
        <v>395</v>
      </c>
      <c r="I5" t="s">
        <v>396</v>
      </c>
      <c r="J5" t="s">
        <v>397</v>
      </c>
    </row>
    <row r="6" spans="1:10" x14ac:dyDescent="0.3">
      <c r="A6" t="s">
        <v>398</v>
      </c>
      <c r="B6" t="s">
        <v>399</v>
      </c>
      <c r="C6">
        <v>55.15</v>
      </c>
      <c r="D6">
        <v>56</v>
      </c>
      <c r="E6">
        <v>4.99</v>
      </c>
      <c r="H6" t="s">
        <v>400</v>
      </c>
      <c r="I6" t="s">
        <v>401</v>
      </c>
      <c r="J6" t="s">
        <v>402</v>
      </c>
    </row>
  </sheetData>
  <mergeCells count="2">
    <mergeCell ref="H3:J3"/>
    <mergeCell ref="E3:G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F37"/>
  <sheetViews>
    <sheetView workbookViewId="0">
      <selection activeCell="B49" sqref="B49"/>
    </sheetView>
  </sheetViews>
  <sheetFormatPr defaultRowHeight="14.4" x14ac:dyDescent="0.3"/>
  <cols>
    <col min="2" max="2" width="18.33203125" customWidth="1"/>
    <col min="3" max="3" width="14.109375" bestFit="1" customWidth="1"/>
    <col min="4" max="4" width="12" customWidth="1"/>
    <col min="5" max="5" width="14.6640625" customWidth="1"/>
  </cols>
  <sheetData>
    <row r="3" spans="2:6" x14ac:dyDescent="0.3">
      <c r="C3" t="s">
        <v>403</v>
      </c>
      <c r="D3" t="s">
        <v>404</v>
      </c>
      <c r="E3" t="s">
        <v>405</v>
      </c>
      <c r="F3" t="s">
        <v>406</v>
      </c>
    </row>
    <row r="4" spans="2:6" x14ac:dyDescent="0.3">
      <c r="B4" t="s">
        <v>391</v>
      </c>
      <c r="C4">
        <v>331.4</v>
      </c>
      <c r="D4">
        <v>328.8</v>
      </c>
      <c r="E4">
        <v>252.4</v>
      </c>
      <c r="F4">
        <f>AVERAGE(C4:E4)</f>
        <v>304.2</v>
      </c>
    </row>
    <row r="6" spans="2:6" x14ac:dyDescent="0.3">
      <c r="B6" t="s">
        <v>407</v>
      </c>
      <c r="C6" s="82">
        <v>0.4456</v>
      </c>
    </row>
    <row r="8" spans="2:6" x14ac:dyDescent="0.3">
      <c r="B8" t="s">
        <v>408</v>
      </c>
    </row>
    <row r="9" spans="2:6" x14ac:dyDescent="0.3">
      <c r="D9" t="s">
        <v>409</v>
      </c>
      <c r="E9" t="s">
        <v>410</v>
      </c>
      <c r="F9" t="s">
        <v>411</v>
      </c>
    </row>
    <row r="10" spans="2:6" x14ac:dyDescent="0.3">
      <c r="B10" t="s">
        <v>412</v>
      </c>
      <c r="C10" s="82">
        <v>0.19289999999999999</v>
      </c>
      <c r="D10" s="1">
        <f t="shared" ref="D10:D15" si="0">C10*$F$4</f>
        <v>58.680179999999993</v>
      </c>
      <c r="E10" s="5">
        <f t="shared" ref="E10:E15" si="1">D10*$C$24</f>
        <v>1.9071058499999998</v>
      </c>
      <c r="F10" s="5">
        <f t="shared" ref="F10:F15" si="2">E10*12</f>
        <v>22.885270199999997</v>
      </c>
    </row>
    <row r="11" spans="2:6" x14ac:dyDescent="0.3">
      <c r="B11" t="s">
        <v>413</v>
      </c>
      <c r="C11" s="82">
        <v>0.16420000000000001</v>
      </c>
      <c r="D11" s="1">
        <f t="shared" si="0"/>
        <v>49.949640000000002</v>
      </c>
      <c r="E11" s="5">
        <f t="shared" si="1"/>
        <v>1.6233633000000001</v>
      </c>
      <c r="F11" s="5">
        <f t="shared" si="2"/>
        <v>19.4803596</v>
      </c>
    </row>
    <row r="12" spans="2:6" x14ac:dyDescent="0.3">
      <c r="B12" t="s">
        <v>414</v>
      </c>
      <c r="C12" s="82">
        <v>0.1235</v>
      </c>
      <c r="D12" s="1">
        <f t="shared" si="0"/>
        <v>37.5687</v>
      </c>
      <c r="E12" s="5">
        <f t="shared" si="1"/>
        <v>1.2209827500000001</v>
      </c>
      <c r="F12" s="5">
        <f t="shared" si="2"/>
        <v>14.651793000000001</v>
      </c>
    </row>
    <row r="13" spans="2:6" x14ac:dyDescent="0.3">
      <c r="B13" t="s">
        <v>415</v>
      </c>
      <c r="C13" s="82">
        <v>0.11260000000000001</v>
      </c>
      <c r="D13" s="1">
        <f t="shared" si="0"/>
        <v>34.252920000000003</v>
      </c>
      <c r="E13" s="5">
        <f t="shared" si="1"/>
        <v>1.1132199</v>
      </c>
      <c r="F13" s="5">
        <f t="shared" si="2"/>
        <v>13.358638800000001</v>
      </c>
    </row>
    <row r="14" spans="2:6" x14ac:dyDescent="0.3">
      <c r="B14" t="s">
        <v>416</v>
      </c>
      <c r="C14" s="82">
        <v>6.0199999999999997E-2</v>
      </c>
      <c r="D14" s="1">
        <f t="shared" si="0"/>
        <v>18.312839999999998</v>
      </c>
      <c r="E14" s="5">
        <f t="shared" si="1"/>
        <v>0.59516729999999995</v>
      </c>
      <c r="F14" s="5">
        <f t="shared" si="2"/>
        <v>7.1420075999999995</v>
      </c>
    </row>
    <row r="15" spans="2:6" x14ac:dyDescent="0.3">
      <c r="B15" t="s">
        <v>239</v>
      </c>
      <c r="C15" s="82">
        <f>1-SUM(C10:C14)</f>
        <v>0.34660000000000002</v>
      </c>
      <c r="D15" s="1">
        <f t="shared" si="0"/>
        <v>105.43572</v>
      </c>
      <c r="E15" s="5">
        <f t="shared" si="1"/>
        <v>3.4266609000000003</v>
      </c>
      <c r="F15" s="5">
        <f t="shared" si="2"/>
        <v>41.119930800000006</v>
      </c>
    </row>
    <row r="16" spans="2:6" x14ac:dyDescent="0.3">
      <c r="F16" s="5">
        <f>SUM(F10:F15)</f>
        <v>118.63799999999999</v>
      </c>
    </row>
    <row r="19" spans="2:5" x14ac:dyDescent="0.3">
      <c r="B19" t="s">
        <v>417</v>
      </c>
      <c r="E19" t="s">
        <v>418</v>
      </c>
    </row>
    <row r="21" spans="2:5" x14ac:dyDescent="0.3">
      <c r="B21" t="s">
        <v>419</v>
      </c>
      <c r="C21" s="82">
        <v>2.2499999999999999E-2</v>
      </c>
    </row>
    <row r="22" spans="2:5" x14ac:dyDescent="0.3">
      <c r="B22" t="s">
        <v>420</v>
      </c>
      <c r="C22" s="82">
        <v>3.2500000000000001E-2</v>
      </c>
    </row>
    <row r="23" spans="2:5" x14ac:dyDescent="0.3">
      <c r="B23" t="s">
        <v>421</v>
      </c>
      <c r="C23" s="82">
        <v>4.2500000000000003E-2</v>
      </c>
    </row>
    <row r="24" spans="2:5" x14ac:dyDescent="0.3">
      <c r="C24" s="82">
        <f>AVERAGE(C21:C23)</f>
        <v>3.2500000000000001E-2</v>
      </c>
    </row>
    <row r="26" spans="2:5" x14ac:dyDescent="0.3">
      <c r="B26" t="s">
        <v>422</v>
      </c>
      <c r="C26" s="1">
        <f>20*10^6</f>
        <v>20000000</v>
      </c>
      <c r="D26" t="s">
        <v>423</v>
      </c>
    </row>
    <row r="28" spans="2:5" x14ac:dyDescent="0.3">
      <c r="B28" t="s">
        <v>424</v>
      </c>
    </row>
    <row r="29" spans="2:5" x14ac:dyDescent="0.3">
      <c r="C29" t="s">
        <v>21</v>
      </c>
    </row>
    <row r="30" spans="2:5" x14ac:dyDescent="0.3">
      <c r="B30" t="s">
        <v>425</v>
      </c>
      <c r="C30">
        <v>45</v>
      </c>
    </row>
    <row r="31" spans="2:5" x14ac:dyDescent="0.3">
      <c r="B31" t="s">
        <v>412</v>
      </c>
      <c r="C31">
        <v>60</v>
      </c>
    </row>
    <row r="32" spans="2:5" x14ac:dyDescent="0.3">
      <c r="B32" t="s">
        <v>426</v>
      </c>
      <c r="C32" s="1">
        <f>C31*C10+C30*(1-C10)</f>
        <v>47.893500000000003</v>
      </c>
    </row>
    <row r="34" spans="2:3" x14ac:dyDescent="0.3">
      <c r="B34" t="s">
        <v>427</v>
      </c>
      <c r="C34" s="1">
        <f>C26/C32</f>
        <v>417593.20158267819</v>
      </c>
    </row>
    <row r="36" spans="2:3" x14ac:dyDescent="0.3">
      <c r="B36" t="s">
        <v>428</v>
      </c>
      <c r="C36" s="1">
        <f>C34*C14</f>
        <v>25139.110735277227</v>
      </c>
    </row>
    <row r="37" spans="2:3" x14ac:dyDescent="0.3">
      <c r="B37" t="s">
        <v>429</v>
      </c>
      <c r="C37" s="5">
        <f>C36/12</f>
        <v>2094.9258946064356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F36"/>
  <sheetViews>
    <sheetView topLeftCell="A11" workbookViewId="0">
      <selection activeCell="C36" sqref="C36"/>
    </sheetView>
  </sheetViews>
  <sheetFormatPr defaultRowHeight="14.4" x14ac:dyDescent="0.3"/>
  <cols>
    <col min="2" max="2" width="18.33203125" customWidth="1"/>
    <col min="3" max="3" width="14.109375" bestFit="1" customWidth="1"/>
    <col min="4" max="4" width="12" customWidth="1"/>
    <col min="5" max="5" width="14.6640625" customWidth="1"/>
  </cols>
  <sheetData>
    <row r="3" spans="2:6" x14ac:dyDescent="0.3">
      <c r="C3" t="s">
        <v>403</v>
      </c>
      <c r="D3" t="s">
        <v>404</v>
      </c>
      <c r="E3" t="s">
        <v>405</v>
      </c>
      <c r="F3" t="s">
        <v>406</v>
      </c>
    </row>
    <row r="4" spans="2:6" x14ac:dyDescent="0.3">
      <c r="B4" t="s">
        <v>430</v>
      </c>
      <c r="C4">
        <v>2.8</v>
      </c>
      <c r="D4">
        <v>6.4</v>
      </c>
      <c r="E4">
        <v>3</v>
      </c>
      <c r="F4">
        <f>AVERAGE(C4:E4)</f>
        <v>4.0666666666666664</v>
      </c>
    </row>
    <row r="6" spans="2:6" x14ac:dyDescent="0.3">
      <c r="B6" t="s">
        <v>407</v>
      </c>
      <c r="C6" s="82">
        <v>0.52590000000000003</v>
      </c>
    </row>
    <row r="8" spans="2:6" x14ac:dyDescent="0.3">
      <c r="B8" t="s">
        <v>408</v>
      </c>
    </row>
    <row r="9" spans="2:6" x14ac:dyDescent="0.3">
      <c r="D9" t="s">
        <v>409</v>
      </c>
      <c r="E9" t="s">
        <v>410</v>
      </c>
      <c r="F9" t="s">
        <v>411</v>
      </c>
    </row>
    <row r="10" spans="2:6" x14ac:dyDescent="0.3">
      <c r="B10" t="s">
        <v>416</v>
      </c>
      <c r="C10" s="82">
        <v>0.67449999999999999</v>
      </c>
      <c r="D10" s="1">
        <f>C10*$F$4</f>
        <v>2.7429666666666663</v>
      </c>
      <c r="E10" s="5">
        <f>D10*$C$20</f>
        <v>8.9146416666666659E-2</v>
      </c>
      <c r="F10" s="5">
        <f>E10*12</f>
        <v>1.0697569999999998</v>
      </c>
    </row>
    <row r="11" spans="2:6" x14ac:dyDescent="0.3">
      <c r="B11" t="s">
        <v>413</v>
      </c>
      <c r="C11" s="82">
        <v>0.32550000000000001</v>
      </c>
      <c r="D11" s="1">
        <f>C11*$F$4</f>
        <v>1.3236999999999999</v>
      </c>
      <c r="E11" s="5">
        <f>D11*$C$20</f>
        <v>4.3020249999999996E-2</v>
      </c>
      <c r="F11" s="5">
        <f>E11*12</f>
        <v>0.51624300000000001</v>
      </c>
    </row>
    <row r="12" spans="2:6" x14ac:dyDescent="0.3">
      <c r="F12" s="5">
        <f>SUM(F10:F11)</f>
        <v>1.5859999999999999</v>
      </c>
    </row>
    <row r="15" spans="2:6" x14ac:dyDescent="0.3">
      <c r="B15" t="s">
        <v>417</v>
      </c>
      <c r="E15" t="s">
        <v>418</v>
      </c>
    </row>
    <row r="17" spans="2:4" x14ac:dyDescent="0.3">
      <c r="B17" t="s">
        <v>419</v>
      </c>
      <c r="C17" s="82">
        <v>2.2499999999999999E-2</v>
      </c>
    </row>
    <row r="18" spans="2:4" x14ac:dyDescent="0.3">
      <c r="B18" t="s">
        <v>420</v>
      </c>
      <c r="C18" s="82">
        <v>3.2500000000000001E-2</v>
      </c>
    </row>
    <row r="19" spans="2:4" x14ac:dyDescent="0.3">
      <c r="B19" t="s">
        <v>421</v>
      </c>
      <c r="C19" s="82">
        <v>4.2500000000000003E-2</v>
      </c>
    </row>
    <row r="20" spans="2:4" x14ac:dyDescent="0.3">
      <c r="C20" s="82">
        <f>AVERAGE(C17:C19)</f>
        <v>3.2500000000000001E-2</v>
      </c>
    </row>
    <row r="22" spans="2:4" x14ac:dyDescent="0.3">
      <c r="B22" t="s">
        <v>422</v>
      </c>
      <c r="C22" s="1">
        <f>15*10^6</f>
        <v>15000000</v>
      </c>
      <c r="D22" t="s">
        <v>431</v>
      </c>
    </row>
    <row r="23" spans="2:4" x14ac:dyDescent="0.3">
      <c r="B23" t="s">
        <v>432</v>
      </c>
      <c r="C23" s="83">
        <v>0.7</v>
      </c>
    </row>
    <row r="24" spans="2:4" x14ac:dyDescent="0.3">
      <c r="C24" s="1">
        <f>C23*C22</f>
        <v>10500000</v>
      </c>
      <c r="D24" s="1">
        <f>C24*C23*C10</f>
        <v>4957574.9999999991</v>
      </c>
    </row>
    <row r="26" spans="2:4" x14ac:dyDescent="0.3">
      <c r="B26" t="s">
        <v>433</v>
      </c>
    </row>
    <row r="27" spans="2:4" x14ac:dyDescent="0.3">
      <c r="C27" t="s">
        <v>21</v>
      </c>
    </row>
    <row r="28" spans="2:4" x14ac:dyDescent="0.3">
      <c r="B28" t="s">
        <v>425</v>
      </c>
      <c r="C28">
        <v>50</v>
      </c>
    </row>
    <row r="30" spans="2:4" x14ac:dyDescent="0.3">
      <c r="B30" t="s">
        <v>427</v>
      </c>
      <c r="C30" s="1">
        <f>C24/C28</f>
        <v>210000</v>
      </c>
    </row>
    <row r="32" spans="2:4" x14ac:dyDescent="0.3">
      <c r="B32" t="s">
        <v>428</v>
      </c>
      <c r="C32" s="1">
        <f>C30*C10</f>
        <v>141645</v>
      </c>
      <c r="D32" s="5">
        <f>D24/C28</f>
        <v>99151.499999999985</v>
      </c>
    </row>
    <row r="33" spans="2:3" x14ac:dyDescent="0.3">
      <c r="B33" t="s">
        <v>429</v>
      </c>
      <c r="C33" s="5">
        <f>C32/12</f>
        <v>11803.75</v>
      </c>
    </row>
    <row r="35" spans="2:3" x14ac:dyDescent="0.3">
      <c r="C35">
        <v>500</v>
      </c>
    </row>
    <row r="36" spans="2:3" x14ac:dyDescent="0.3">
      <c r="C36" s="4">
        <f>C35/C33</f>
        <v>4.2359419675950437E-2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22"/>
  <sheetViews>
    <sheetView workbookViewId="0">
      <selection activeCell="C36" sqref="C36"/>
    </sheetView>
  </sheetViews>
  <sheetFormatPr defaultColWidth="8.6640625" defaultRowHeight="14.4" x14ac:dyDescent="0.3"/>
  <cols>
    <col min="1" max="1" width="2.33203125" customWidth="1"/>
    <col min="3" max="3" width="21.33203125" customWidth="1"/>
    <col min="4" max="4" width="12.44140625" customWidth="1"/>
    <col min="5" max="5" width="50.6640625" bestFit="1" customWidth="1"/>
    <col min="6" max="6" width="14.44140625" customWidth="1"/>
    <col min="7" max="7" width="20.109375" customWidth="1"/>
    <col min="8" max="8" width="18.109375" customWidth="1"/>
    <col min="10" max="10" width="16.6640625" customWidth="1"/>
  </cols>
  <sheetData>
    <row r="2" spans="2:12" x14ac:dyDescent="0.3">
      <c r="B2" t="s">
        <v>3</v>
      </c>
      <c r="C2" t="s">
        <v>434</v>
      </c>
      <c r="D2" t="s">
        <v>435</v>
      </c>
      <c r="E2" t="s">
        <v>436</v>
      </c>
      <c r="F2" t="s">
        <v>437</v>
      </c>
      <c r="G2" t="s">
        <v>438</v>
      </c>
      <c r="H2" t="s">
        <v>439</v>
      </c>
      <c r="I2" t="s">
        <v>18</v>
      </c>
    </row>
    <row r="3" spans="2:12" x14ac:dyDescent="0.3">
      <c r="B3">
        <v>1</v>
      </c>
      <c r="C3" t="s">
        <v>328</v>
      </c>
      <c r="D3" t="s">
        <v>440</v>
      </c>
      <c r="E3" s="6" t="s">
        <v>441</v>
      </c>
      <c r="F3" t="s">
        <v>442</v>
      </c>
      <c r="G3" t="s">
        <v>443</v>
      </c>
      <c r="H3" t="s">
        <v>444</v>
      </c>
      <c r="I3" t="s">
        <v>445</v>
      </c>
    </row>
    <row r="4" spans="2:12" x14ac:dyDescent="0.3">
      <c r="B4">
        <v>2</v>
      </c>
      <c r="C4" t="s">
        <v>446</v>
      </c>
      <c r="D4" t="s">
        <v>413</v>
      </c>
      <c r="E4" s="6" t="s">
        <v>447</v>
      </c>
      <c r="F4" t="s">
        <v>448</v>
      </c>
      <c r="G4" t="s">
        <v>449</v>
      </c>
      <c r="H4" t="s">
        <v>450</v>
      </c>
      <c r="I4" t="s">
        <v>451</v>
      </c>
    </row>
    <row r="5" spans="2:12" x14ac:dyDescent="0.3">
      <c r="B5">
        <v>3</v>
      </c>
      <c r="C5" t="s">
        <v>452</v>
      </c>
      <c r="D5" t="s">
        <v>413</v>
      </c>
      <c r="E5" t="s">
        <v>453</v>
      </c>
      <c r="F5" t="s">
        <v>442</v>
      </c>
      <c r="G5" t="s">
        <v>454</v>
      </c>
      <c r="H5" t="s">
        <v>450</v>
      </c>
    </row>
    <row r="6" spans="2:12" s="24" customFormat="1" x14ac:dyDescent="0.3">
      <c r="B6" s="24">
        <v>4</v>
      </c>
      <c r="C6" s="24" t="s">
        <v>455</v>
      </c>
      <c r="D6" s="24" t="s">
        <v>440</v>
      </c>
      <c r="E6" s="25" t="s">
        <v>456</v>
      </c>
      <c r="F6" s="24" t="s">
        <v>442</v>
      </c>
      <c r="G6" s="24" t="s">
        <v>457</v>
      </c>
      <c r="H6" s="24" t="s">
        <v>458</v>
      </c>
    </row>
    <row r="7" spans="2:12" x14ac:dyDescent="0.3">
      <c r="B7">
        <v>5</v>
      </c>
      <c r="C7" t="s">
        <v>459</v>
      </c>
      <c r="D7" t="s">
        <v>440</v>
      </c>
      <c r="E7" s="6" t="s">
        <v>460</v>
      </c>
      <c r="F7" t="s">
        <v>442</v>
      </c>
      <c r="G7" t="s">
        <v>461</v>
      </c>
      <c r="H7" t="s">
        <v>458</v>
      </c>
    </row>
    <row r="8" spans="2:12" x14ac:dyDescent="0.3">
      <c r="B8">
        <v>6</v>
      </c>
      <c r="C8" t="s">
        <v>462</v>
      </c>
      <c r="D8" t="s">
        <v>440</v>
      </c>
      <c r="E8" s="6" t="s">
        <v>463</v>
      </c>
      <c r="F8" t="s">
        <v>442</v>
      </c>
      <c r="G8" t="s">
        <v>464</v>
      </c>
      <c r="H8" t="s">
        <v>450</v>
      </c>
      <c r="I8" t="s">
        <v>465</v>
      </c>
    </row>
    <row r="9" spans="2:12" s="24" customFormat="1" x14ac:dyDescent="0.3">
      <c r="B9" s="24">
        <v>7</v>
      </c>
      <c r="C9" s="24" t="s">
        <v>466</v>
      </c>
      <c r="D9" s="24" t="s">
        <v>467</v>
      </c>
      <c r="E9" s="25" t="s">
        <v>468</v>
      </c>
      <c r="F9" s="24" t="s">
        <v>442</v>
      </c>
      <c r="G9" s="24" t="s">
        <v>457</v>
      </c>
      <c r="H9" s="24" t="s">
        <v>458</v>
      </c>
    </row>
    <row r="11" spans="2:12" x14ac:dyDescent="0.3">
      <c r="L11">
        <f>1620/100</f>
        <v>16.2</v>
      </c>
    </row>
    <row r="14" spans="2:12" ht="72" customHeight="1" x14ac:dyDescent="0.3">
      <c r="D14" t="s">
        <v>469</v>
      </c>
      <c r="E14" s="33" t="s">
        <v>470</v>
      </c>
      <c r="F14" s="33" t="s">
        <v>471</v>
      </c>
      <c r="G14" s="32" t="s">
        <v>472</v>
      </c>
      <c r="H14" s="32" t="s">
        <v>473</v>
      </c>
      <c r="I14" s="31" t="s">
        <v>474</v>
      </c>
      <c r="J14" s="32" t="s">
        <v>475</v>
      </c>
    </row>
    <row r="15" spans="2:12" x14ac:dyDescent="0.3">
      <c r="D15" t="s">
        <v>328</v>
      </c>
      <c r="E15" t="s">
        <v>442</v>
      </c>
      <c r="F15" t="s">
        <v>442</v>
      </c>
      <c r="G15" t="s">
        <v>442</v>
      </c>
      <c r="H15" t="s">
        <v>442</v>
      </c>
      <c r="I15" t="s">
        <v>442</v>
      </c>
      <c r="J15" t="s">
        <v>442</v>
      </c>
    </row>
    <row r="16" spans="2:12" x14ac:dyDescent="0.3">
      <c r="D16" t="s">
        <v>446</v>
      </c>
      <c r="E16" t="s">
        <v>442</v>
      </c>
      <c r="F16" t="s">
        <v>442</v>
      </c>
      <c r="G16" t="s">
        <v>442</v>
      </c>
      <c r="H16" t="s">
        <v>442</v>
      </c>
      <c r="I16" t="s">
        <v>476</v>
      </c>
      <c r="J16" t="s">
        <v>477</v>
      </c>
    </row>
    <row r="17" spans="4:10" x14ac:dyDescent="0.3">
      <c r="D17" t="s">
        <v>452</v>
      </c>
      <c r="E17" t="s">
        <v>442</v>
      </c>
      <c r="F17" t="s">
        <v>442</v>
      </c>
      <c r="G17" t="s">
        <v>442</v>
      </c>
      <c r="H17" t="s">
        <v>442</v>
      </c>
      <c r="I17" t="s">
        <v>442</v>
      </c>
      <c r="J17" t="s">
        <v>448</v>
      </c>
    </row>
    <row r="18" spans="4:10" x14ac:dyDescent="0.3">
      <c r="D18" s="24" t="s">
        <v>455</v>
      </c>
      <c r="E18" t="s">
        <v>442</v>
      </c>
      <c r="F18" t="s">
        <v>448</v>
      </c>
      <c r="G18" t="s">
        <v>476</v>
      </c>
      <c r="H18" t="s">
        <v>476</v>
      </c>
      <c r="I18" t="s">
        <v>476</v>
      </c>
      <c r="J18" t="s">
        <v>476</v>
      </c>
    </row>
    <row r="19" spans="4:10" x14ac:dyDescent="0.3">
      <c r="D19" t="s">
        <v>459</v>
      </c>
      <c r="E19" t="s">
        <v>476</v>
      </c>
      <c r="F19" t="s">
        <v>476</v>
      </c>
      <c r="G19" t="s">
        <v>476</v>
      </c>
      <c r="H19" t="s">
        <v>476</v>
      </c>
      <c r="I19" t="s">
        <v>476</v>
      </c>
      <c r="J19" t="s">
        <v>476</v>
      </c>
    </row>
    <row r="20" spans="4:10" x14ac:dyDescent="0.3">
      <c r="D20" t="s">
        <v>462</v>
      </c>
      <c r="E20" t="s">
        <v>442</v>
      </c>
      <c r="F20" t="s">
        <v>442</v>
      </c>
      <c r="G20" t="s">
        <v>442</v>
      </c>
      <c r="H20" t="s">
        <v>442</v>
      </c>
      <c r="I20" t="s">
        <v>476</v>
      </c>
      <c r="J20" t="s">
        <v>448</v>
      </c>
    </row>
    <row r="21" spans="4:10" x14ac:dyDescent="0.3">
      <c r="D21" s="24" t="s">
        <v>466</v>
      </c>
      <c r="E21" t="s">
        <v>442</v>
      </c>
      <c r="F21" t="s">
        <v>448</v>
      </c>
      <c r="G21" t="s">
        <v>476</v>
      </c>
      <c r="H21" t="s">
        <v>476</v>
      </c>
      <c r="I21" t="s">
        <v>476</v>
      </c>
      <c r="J21" t="s">
        <v>448</v>
      </c>
    </row>
    <row r="22" spans="4:10" x14ac:dyDescent="0.3">
      <c r="D22" t="s">
        <v>478</v>
      </c>
    </row>
  </sheetData>
  <hyperlinks>
    <hyperlink ref="E3" r:id="rId1" xr:uid="{00000000-0004-0000-0B00-000000000000}"/>
    <hyperlink ref="E4" r:id="rId2" xr:uid="{00000000-0004-0000-0B00-000001000000}"/>
    <hyperlink ref="E6" r:id="rId3" xr:uid="{00000000-0004-0000-0B00-000002000000}"/>
    <hyperlink ref="E7" r:id="rId4" xr:uid="{00000000-0004-0000-0B00-000003000000}"/>
    <hyperlink ref="E8" r:id="rId5" xr:uid="{00000000-0004-0000-0B00-000004000000}"/>
    <hyperlink ref="E9" r:id="rId6" xr:uid="{00000000-0004-0000-0B00-000005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5"/>
  <sheetViews>
    <sheetView workbookViewId="0">
      <selection activeCell="D16" sqref="D16:D21"/>
    </sheetView>
  </sheetViews>
  <sheetFormatPr defaultColWidth="8.6640625" defaultRowHeight="14.4" x14ac:dyDescent="0.3"/>
  <cols>
    <col min="2" max="2" width="28.44140625" bestFit="1" customWidth="1"/>
    <col min="4" max="4" width="18.33203125" bestFit="1" customWidth="1"/>
    <col min="5" max="5" width="12.6640625" bestFit="1" customWidth="1"/>
  </cols>
  <sheetData>
    <row r="2" spans="2:6" x14ac:dyDescent="0.3">
      <c r="C2" t="s">
        <v>479</v>
      </c>
      <c r="D2" t="s">
        <v>480</v>
      </c>
      <c r="E2" t="s">
        <v>481</v>
      </c>
      <c r="F2" t="s">
        <v>436</v>
      </c>
    </row>
    <row r="3" spans="2:6" x14ac:dyDescent="0.3">
      <c r="B3" t="s">
        <v>482</v>
      </c>
      <c r="C3">
        <v>8000</v>
      </c>
      <c r="D3" t="s">
        <v>483</v>
      </c>
      <c r="E3" t="s">
        <v>484</v>
      </c>
      <c r="F3" t="s">
        <v>485</v>
      </c>
    </row>
    <row r="4" spans="2:6" x14ac:dyDescent="0.3">
      <c r="B4" t="s">
        <v>486</v>
      </c>
      <c r="C4" t="s">
        <v>487</v>
      </c>
      <c r="D4" t="s">
        <v>488</v>
      </c>
      <c r="E4" t="s">
        <v>489</v>
      </c>
      <c r="F4" t="s">
        <v>490</v>
      </c>
    </row>
    <row r="5" spans="2:6" x14ac:dyDescent="0.3">
      <c r="B5" t="s">
        <v>491</v>
      </c>
      <c r="C5" t="s">
        <v>492</v>
      </c>
      <c r="D5" t="s">
        <v>493</v>
      </c>
      <c r="E5" t="s">
        <v>494</v>
      </c>
      <c r="F5" t="s">
        <v>495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K15"/>
  <sheetViews>
    <sheetView workbookViewId="0">
      <selection activeCell="D16" sqref="D16:D21"/>
    </sheetView>
  </sheetViews>
  <sheetFormatPr defaultColWidth="8.6640625" defaultRowHeight="14.4" x14ac:dyDescent="0.3"/>
  <cols>
    <col min="1" max="1" width="2.44140625" customWidth="1"/>
    <col min="2" max="2" width="28.6640625" customWidth="1"/>
    <col min="3" max="3" width="30.6640625" customWidth="1"/>
    <col min="4" max="4" width="18.109375" customWidth="1"/>
    <col min="5" max="5" width="44.6640625" bestFit="1" customWidth="1"/>
  </cols>
  <sheetData>
    <row r="1" spans="2:11" x14ac:dyDescent="0.3">
      <c r="D1" t="s">
        <v>496</v>
      </c>
    </row>
    <row r="2" spans="2:11" x14ac:dyDescent="0.3">
      <c r="B2" t="s">
        <v>497</v>
      </c>
      <c r="C2" t="s">
        <v>498</v>
      </c>
      <c r="D2" t="s">
        <v>499</v>
      </c>
    </row>
    <row r="3" spans="2:11" x14ac:dyDescent="0.3">
      <c r="B3" t="s">
        <v>500</v>
      </c>
      <c r="C3" t="s">
        <v>501</v>
      </c>
      <c r="D3" t="s">
        <v>502</v>
      </c>
    </row>
    <row r="7" spans="2:11" x14ac:dyDescent="0.3">
      <c r="B7" t="s">
        <v>503</v>
      </c>
      <c r="C7" t="s">
        <v>504</v>
      </c>
      <c r="K7" t="s">
        <v>505</v>
      </c>
    </row>
    <row r="8" spans="2:11" x14ac:dyDescent="0.3">
      <c r="B8" t="s">
        <v>506</v>
      </c>
      <c r="C8" t="s">
        <v>507</v>
      </c>
      <c r="J8" t="s">
        <v>33</v>
      </c>
      <c r="K8">
        <v>2000</v>
      </c>
    </row>
    <row r="9" spans="2:11" x14ac:dyDescent="0.3">
      <c r="J9" t="s">
        <v>508</v>
      </c>
      <c r="K9">
        <v>544.42999999999995</v>
      </c>
    </row>
    <row r="10" spans="2:11" x14ac:dyDescent="0.3">
      <c r="J10" t="s">
        <v>509</v>
      </c>
      <c r="K10">
        <f>K9/K8</f>
        <v>0.27221499999999998</v>
      </c>
    </row>
    <row r="13" spans="2:11" x14ac:dyDescent="0.3">
      <c r="B13" t="s">
        <v>510</v>
      </c>
    </row>
    <row r="14" spans="2:11" x14ac:dyDescent="0.3">
      <c r="C14" t="s">
        <v>435</v>
      </c>
      <c r="D14" t="s">
        <v>511</v>
      </c>
      <c r="E14" t="s">
        <v>497</v>
      </c>
    </row>
    <row r="15" spans="2:11" x14ac:dyDescent="0.3">
      <c r="B15" t="s">
        <v>512</v>
      </c>
      <c r="C15" t="s">
        <v>413</v>
      </c>
      <c r="D15" s="6" t="s">
        <v>513</v>
      </c>
      <c r="E15" s="6" t="s">
        <v>514</v>
      </c>
    </row>
  </sheetData>
  <hyperlinks>
    <hyperlink ref="D15" r:id="rId1" xr:uid="{00000000-0004-0000-0D00-000000000000}"/>
    <hyperlink ref="E15" r:id="rId2" xr:uid="{00000000-0004-0000-0D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Periodika</vt:lpstr>
      <vt:lpstr>Business case - old</vt:lpstr>
      <vt:lpstr>Business case - Quarterly view</vt:lpstr>
      <vt:lpstr>Marketing</vt:lpstr>
      <vt:lpstr>Sheet2</vt:lpstr>
      <vt:lpstr>Tax &amp; Founder income</vt:lpstr>
      <vt:lpstr>Salaries</vt:lpstr>
      <vt:lpstr>Assumptions</vt:lpstr>
      <vt:lpstr>Sheet1</vt:lpstr>
      <vt:lpstr>Journi sanity check</vt:lpstr>
      <vt:lpstr>Fotobook.at</vt:lpstr>
      <vt:lpstr>Printing facilities</vt:lpstr>
      <vt:lpstr>Grants and accelerators</vt: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Evgenii Myasin</dc:creator>
  <cp:lastModifiedBy>Evgeniy Myasin</cp:lastModifiedBy>
  <dcterms:created xsi:type="dcterms:W3CDTF">2025-03-24T17:54:36Z</dcterms:created>
  <dcterms:modified xsi:type="dcterms:W3CDTF">2026-08-05T15:21:17Z</dcterms:modified>
</cp:coreProperties>
</file>