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2.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comments/comment3.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2" activeTab="3" autoFilterDateGrouping="1"/>
  </bookViews>
  <sheets>
    <sheet xmlns:r="http://schemas.openxmlformats.org/officeDocument/2006/relationships" name="Periodika" sheetId="1" state="hidden" r:id="rId1"/>
    <sheet xmlns:r="http://schemas.openxmlformats.org/officeDocument/2006/relationships" name="Business case - old" sheetId="2" state="hidden" r:id="rId2"/>
    <sheet xmlns:r="http://schemas.openxmlformats.org/officeDocument/2006/relationships" name="Business case - Quarterly view" sheetId="3" state="visible" r:id="rId3"/>
    <sheet xmlns:r="http://schemas.openxmlformats.org/officeDocument/2006/relationships" name="Marketing" sheetId="4" state="visible" r:id="rId4"/>
    <sheet xmlns:r="http://schemas.openxmlformats.org/officeDocument/2006/relationships" name="Sheet2" sheetId="5" state="hidden" r:id="rId5"/>
    <sheet xmlns:r="http://schemas.openxmlformats.org/officeDocument/2006/relationships" name="Tax &amp; Founder income" sheetId="6" state="visible" r:id="rId6"/>
    <sheet xmlns:r="http://schemas.openxmlformats.org/officeDocument/2006/relationships" name="Salaries" sheetId="7" state="hidden" r:id="rId7"/>
    <sheet xmlns:r="http://schemas.openxmlformats.org/officeDocument/2006/relationships" name="Assumptions" sheetId="8" state="visible" r:id="rId8"/>
    <sheet xmlns:r="http://schemas.openxmlformats.org/officeDocument/2006/relationships" name="Sheet1" sheetId="9" state="hidden" r:id="rId9"/>
    <sheet xmlns:r="http://schemas.openxmlformats.org/officeDocument/2006/relationships" name="Journi sanity check" sheetId="10" state="hidden" r:id="rId10"/>
    <sheet xmlns:r="http://schemas.openxmlformats.org/officeDocument/2006/relationships" name="Fotobook.at" sheetId="11" state="hidden" r:id="rId11"/>
    <sheet xmlns:r="http://schemas.openxmlformats.org/officeDocument/2006/relationships" name="Printing facilities" sheetId="12" state="hidden" r:id="rId12"/>
    <sheet xmlns:r="http://schemas.openxmlformats.org/officeDocument/2006/relationships" name="Grants and accelerators" sheetId="13" state="hidden" r:id="rId13"/>
    <sheet xmlns:r="http://schemas.openxmlformats.org/officeDocument/2006/relationships" name="papers" sheetId="14" state="hidden" r:id="rId14"/>
  </sheets>
  <definedNames/>
  <calcPr calcId="191029" fullCalcOnLoad="1"/>
</workbook>
</file>

<file path=xl/styles.xml><?xml version="1.0" encoding="utf-8"?>
<styleSheet xmlns="http://schemas.openxmlformats.org/spreadsheetml/2006/main">
  <numFmts count="12">
    <numFmt numFmtId="164" formatCode="_-* #,##0_-;\-* #,##0_-;_-* &quot;-&quot;??_-;_-@_-"/>
    <numFmt numFmtId="165" formatCode="_-* #,##0.0_-;\-* #,##0.0_-;_-* &quot;-&quot;?_-;_-@_-"/>
    <numFmt numFmtId="166" formatCode="_-* #,##0.00_-;\-* #,##0.00_-;_-* &quot;-&quot;??_-;_-@_-"/>
    <numFmt numFmtId="167" formatCode="_-&quot;€&quot;\ * #,##0_-;\-&quot;€&quot;\ * #,##0_-;_-&quot;€&quot;\ * &quot;-&quot;??_-;_-@_-"/>
    <numFmt numFmtId="168" formatCode="0.0"/>
    <numFmt numFmtId="169" formatCode="_-&quot;€&quot;\ * #,##0_-;\-&quot;€&quot;\ * #,##0_-;_-&quot;€&quot;\ * &quot;-&quot;_-;_-@_-"/>
    <numFmt numFmtId="170" formatCode="_-* #,##0.0_-;\-* #,##0.0_-;_-* &quot;-&quot;??_-;_-@_-"/>
    <numFmt numFmtId="171" formatCode="_-&quot;€&quot;\ * #,##0.00_-;\-&quot;€&quot;\ * #,##0.00_-;_-&quot;€&quot;\ * &quot;-&quot;??_-;_-@_-"/>
    <numFmt numFmtId="172" formatCode="0.0%"/>
    <numFmt numFmtId="173" formatCode="#,##0.0"/>
    <numFmt numFmtId="174" formatCode="#,##0;\(#,##0\);&quot;-&quot;"/>
    <numFmt numFmtId="175" formatCode="_(&quot;€&quot;* #,##0_);_(&quot;€&quot;* \(#,##0\);_(&quot;€&quot;* &quot;-&quot;_);_(@_)"/>
  </numFmts>
  <fonts count="38">
    <font>
      <name val="Aptos Narrow"/>
      <family val="2"/>
      <color theme="1"/>
      <sz val="11"/>
      <scheme val="minor"/>
    </font>
    <font>
      <name val="Aptos Narrow"/>
      <family val="2"/>
      <color theme="1"/>
      <sz val="11"/>
      <scheme val="minor"/>
    </font>
    <font>
      <name val="Aptos Narrow"/>
      <family val="2"/>
      <b val="1"/>
      <color theme="1"/>
      <sz val="11"/>
      <scheme val="minor"/>
    </font>
    <font>
      <name val="Aptos Narrow"/>
      <family val="2"/>
      <color theme="0"/>
      <sz val="11"/>
      <scheme val="minor"/>
    </font>
    <font>
      <name val="Aptos Narrow"/>
      <family val="2"/>
      <color theme="10"/>
      <sz val="11"/>
      <u val="single"/>
      <scheme val="minor"/>
    </font>
    <font>
      <name val="Aptos Narrow"/>
      <family val="2"/>
      <b val="1"/>
      <color theme="0"/>
      <sz val="11"/>
      <scheme val="minor"/>
    </font>
    <font>
      <name val="Aptos Narrow"/>
      <family val="2"/>
      <i val="1"/>
      <color theme="1"/>
      <sz val="11"/>
      <scheme val="minor"/>
    </font>
    <font>
      <name val="Aptos Narrow"/>
      <family val="2"/>
      <color rgb="FFFF0000"/>
      <sz val="11"/>
      <scheme val="minor"/>
    </font>
    <font>
      <name val="Aptos Narrow"/>
      <family val="2"/>
      <color rgb="FFFF0000"/>
      <sz val="11"/>
      <u val="single"/>
      <scheme val="minor"/>
    </font>
    <font>
      <name val="Aptos Narrow"/>
      <family val="2"/>
      <color rgb="FF00B0F0"/>
      <sz val="11"/>
      <scheme val="minor"/>
    </font>
    <font>
      <name val="Arial"/>
      <family val="2"/>
      <sz val="10"/>
    </font>
    <font>
      <name val="Arial"/>
      <family val="2"/>
      <color theme="10"/>
      <sz val="11"/>
      <u val="single"/>
    </font>
    <font>
      <name val="Arial"/>
      <family val="2"/>
      <color theme="1"/>
      <sz val="10"/>
    </font>
    <font>
      <name val="Aptos Narrow"/>
      <family val="2"/>
      <i val="1"/>
      <color theme="7"/>
      <sz val="12"/>
      <scheme val="minor"/>
    </font>
    <font>
      <name val="Aptos Narrow"/>
      <family val="2"/>
      <color theme="0" tint="-0.249977111117893"/>
      <sz val="12"/>
      <scheme val="minor"/>
    </font>
    <font>
      <name val="Aptos Narrow"/>
      <family val="2"/>
      <color theme="7"/>
      <sz val="11"/>
      <scheme val="minor"/>
    </font>
    <font>
      <name val="Aptos Narrow"/>
      <family val="2"/>
      <i val="1"/>
      <color theme="7"/>
      <sz val="11"/>
      <scheme val="minor"/>
    </font>
    <font>
      <name val="Aptos Narrow"/>
      <family val="2"/>
      <b val="1"/>
      <color theme="7"/>
      <sz val="11"/>
      <scheme val="minor"/>
    </font>
    <font>
      <name val="Aptos Narrow"/>
      <family val="2"/>
      <b val="1"/>
      <color theme="1"/>
      <sz val="12"/>
    </font>
    <font>
      <name val="Aptos Narrow"/>
      <family val="2"/>
      <color theme="1"/>
      <sz val="12"/>
    </font>
    <font>
      <name val="Aptos Narrow"/>
      <family val="2"/>
      <b val="1"/>
      <color theme="1"/>
      <sz val="11"/>
    </font>
    <font>
      <name val="Aptos Narrow"/>
      <family val="2"/>
      <color rgb="FF000000"/>
      <sz val="11"/>
      <scheme val="minor"/>
    </font>
    <font>
      <name val="Aptos Narrow"/>
      <family val="2"/>
      <b val="1"/>
      <color rgb="FF000000"/>
      <sz val="11"/>
      <scheme val="minor"/>
    </font>
    <font>
      <name val="Aptos Narrow"/>
      <family val="2"/>
      <i val="1"/>
      <color rgb="FF808080"/>
      <sz val="11"/>
      <scheme val="minor"/>
    </font>
    <font>
      <name val="Aptos Narrow"/>
      <family val="2"/>
      <color rgb="FF0F9ED5"/>
      <sz val="11"/>
      <scheme val="minor"/>
    </font>
    <font>
      <name val="Aptos Narrow"/>
      <family val="2"/>
      <color theme="0" tint="-0.3499862666707358"/>
      <sz val="11"/>
      <scheme val="minor"/>
    </font>
    <font>
      <name val="Aptos Narrow"/>
      <family val="2"/>
      <b val="1"/>
      <color theme="1"/>
      <sz val="12"/>
      <scheme val="minor"/>
    </font>
    <font>
      <name val="Aptos Narrow"/>
      <family val="2"/>
      <color rgb="FF0000FF"/>
      <sz val="11"/>
      <scheme val="minor"/>
    </font>
    <font>
      <name val="Aptos Narrow"/>
      <family val="2"/>
      <b val="1"/>
      <color theme="1"/>
      <sz val="14"/>
      <scheme val="minor"/>
    </font>
    <font>
      <name val="Aptos Narrow"/>
      <family val="2"/>
      <i val="1"/>
      <color rgb="FF808080"/>
      <sz val="10"/>
      <scheme val="minor"/>
    </font>
    <font>
      <name val="Aptos Narrow"/>
      <family val="2"/>
      <color rgb="FF008000"/>
      <sz val="11"/>
      <scheme val="minor"/>
    </font>
    <font>
      <name val="Aptos Narrow"/>
      <family val="2"/>
      <i val="1"/>
      <color rgb="FF008000"/>
      <sz val="11"/>
      <scheme val="minor"/>
    </font>
    <font>
      <name val="Aptos Narrow"/>
      <family val="2"/>
      <b val="1"/>
      <i val="1"/>
      <color rgb="FF808080"/>
      <sz val="11"/>
      <scheme val="minor"/>
    </font>
    <font>
      <name val="Aptos Narrow"/>
      <family val="2"/>
      <b val="1"/>
      <i val="1"/>
      <color rgb="FF808080"/>
      <sz val="12"/>
      <scheme val="minor"/>
    </font>
    <font>
      <name val="Aptos Narrow"/>
      <family val="2"/>
      <i val="1"/>
      <color rgb="FF0000FF"/>
      <sz val="11"/>
      <scheme val="minor"/>
    </font>
    <font>
      <name val="Aptos Narrow"/>
      <b val="1"/>
      <sz val="11"/>
    </font>
    <font>
      <name val="Aptos Narrow"/>
      <family val="2"/>
      <b val="1"/>
      <color theme="0"/>
      <sz val="11"/>
    </font>
    <font>
      <b val="1"/>
    </font>
  </fonts>
  <fills count="15">
    <fill>
      <patternFill/>
    </fill>
    <fill>
      <patternFill patternType="gray125"/>
    </fill>
    <fill>
      <patternFill patternType="solid">
        <fgColor theme="3"/>
        <bgColor indexed="64"/>
      </patternFill>
    </fill>
    <fill>
      <patternFill patternType="solid">
        <fgColor theme="0"/>
        <bgColor indexed="64"/>
      </patternFill>
    </fill>
    <fill>
      <patternFill patternType="solid">
        <fgColor theme="5"/>
        <bgColor indexed="64"/>
      </patternFill>
    </fill>
    <fill>
      <patternFill patternType="solid">
        <fgColor rgb="FFFFFF00"/>
        <bgColor indexed="64"/>
      </patternFill>
    </fill>
    <fill>
      <patternFill patternType="solid">
        <fgColor theme="0" tint="-0.3499862666707358"/>
        <bgColor indexed="64"/>
      </patternFill>
    </fill>
    <fill>
      <patternFill patternType="solid">
        <fgColor theme="4" tint="0.7999816888943144"/>
        <bgColor indexed="64"/>
      </patternFill>
    </fill>
    <fill>
      <patternFill patternType="solid">
        <fgColor theme="3" tint="0.8999908444471572"/>
        <bgColor indexed="64"/>
      </patternFill>
    </fill>
    <fill>
      <patternFill patternType="solid">
        <fgColor rgb="FFFFFFFF"/>
        <bgColor indexed="64"/>
      </patternFill>
    </fill>
    <fill>
      <patternFill patternType="solid">
        <fgColor rgb="FFDAE9F8"/>
        <bgColor indexed="64"/>
      </patternFill>
    </fill>
    <fill>
      <patternFill patternType="solid">
        <fgColor rgb="FF92D050"/>
        <bgColor indexed="64"/>
      </patternFill>
    </fill>
    <fill>
      <patternFill patternType="solid">
        <fgColor rgb="FFE97132"/>
        <bgColor indexed="64"/>
      </patternFill>
    </fill>
    <fill>
      <patternFill patternType="solid">
        <fgColor rgb="FFD9D9D9"/>
        <bgColor indexed="64"/>
      </patternFill>
    </fill>
    <fill>
      <patternFill patternType="solid">
        <fgColor rgb="FFE2EFDA"/>
        <bgColor indexed="64"/>
      </patternFill>
    </fill>
  </fills>
  <borders count="5">
    <border>
      <left/>
      <right/>
      <top/>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style="thin">
        <color rgb="FF000000"/>
      </left>
      <right style="thin">
        <color rgb="FF000000"/>
      </right>
      <top style="thin">
        <color rgb="FF000000"/>
      </top>
      <bottom style="thin">
        <color rgb="FF000000"/>
      </bottom>
      <diagonal/>
    </border>
    <border>
      <left/>
      <right/>
      <top/>
      <bottom style="thin">
        <color auto="1"/>
      </bottom>
      <diagonal/>
    </border>
    <border>
      <left/>
      <right/>
      <top style="thin">
        <color auto="1"/>
      </top>
      <bottom/>
      <diagonal/>
    </border>
  </borders>
  <cellStyleXfs count="6">
    <xf numFmtId="0" fontId="1" fillId="0" borderId="0"/>
    <xf numFmtId="43" fontId="1" fillId="0" borderId="0"/>
    <xf numFmtId="9" fontId="1" fillId="0" borderId="0"/>
    <xf numFmtId="0" fontId="4" fillId="0" borderId="0"/>
    <xf numFmtId="0" fontId="10" fillId="0" borderId="0"/>
    <xf numFmtId="0" fontId="1" fillId="0" borderId="0"/>
  </cellStyleXfs>
  <cellXfs count="245">
    <xf numFmtId="0" fontId="0" fillId="0" borderId="0" pivotButton="0" quotePrefix="0" xfId="0"/>
    <xf numFmtId="164" fontId="0" fillId="0" borderId="0" pivotButton="0" quotePrefix="0" xfId="1"/>
    <xf numFmtId="165" fontId="0" fillId="0" borderId="0" pivotButton="0" quotePrefix="0" xfId="0"/>
    <xf numFmtId="166" fontId="0" fillId="0" borderId="0" pivotButton="0" quotePrefix="0" xfId="1"/>
    <xf numFmtId="9" fontId="0" fillId="0" borderId="0" pivotButton="0" quotePrefix="0" xfId="0"/>
    <xf numFmtId="166" fontId="0" fillId="0" borderId="0" pivotButton="0" quotePrefix="0" xfId="0"/>
    <xf numFmtId="0" fontId="4" fillId="0" borderId="0" pivotButton="0" quotePrefix="0" xfId="3"/>
    <xf numFmtId="0" fontId="2" fillId="0" borderId="0" pivotButton="0" quotePrefix="0" xfId="0"/>
    <xf numFmtId="0" fontId="3" fillId="2" borderId="0" pivotButton="0" quotePrefix="0" xfId="0"/>
    <xf numFmtId="9" fontId="0" fillId="0" borderId="0" pivotButton="0" quotePrefix="0" xfId="2"/>
    <xf numFmtId="164" fontId="0" fillId="0" borderId="0" pivotButton="0" quotePrefix="0" xfId="0"/>
    <xf numFmtId="4" fontId="0" fillId="0" borderId="0" pivotButton="0" quotePrefix="0" xfId="0"/>
    <xf numFmtId="0" fontId="0" fillId="3" borderId="0" pivotButton="0" quotePrefix="0" xfId="0"/>
    <xf numFmtId="0" fontId="3" fillId="2" borderId="0" applyAlignment="1" pivotButton="0" quotePrefix="0" xfId="0">
      <alignment horizontal="center"/>
    </xf>
    <xf numFmtId="0" fontId="0" fillId="3" borderId="0" applyAlignment="1" pivotButton="0" quotePrefix="0" xfId="0">
      <alignment horizontal="center"/>
    </xf>
    <xf numFmtId="0" fontId="5" fillId="4" borderId="0" applyAlignment="1" pivotButton="0" quotePrefix="0" xfId="0">
      <alignment horizontal="center"/>
    </xf>
    <xf numFmtId="0" fontId="5" fillId="4" borderId="0" pivotButton="0" quotePrefix="0" xfId="0"/>
    <xf numFmtId="0" fontId="2" fillId="3" borderId="0" pivotButton="0" quotePrefix="0" xfId="0"/>
    <xf numFmtId="0" fontId="0" fillId="3" borderId="0" applyAlignment="1" pivotButton="0" quotePrefix="0" xfId="0">
      <alignment horizontal="left" indent="1"/>
    </xf>
    <xf numFmtId="0" fontId="6" fillId="3" borderId="0" applyAlignment="1" pivotButton="0" quotePrefix="0" xfId="0">
      <alignment horizontal="center"/>
    </xf>
    <xf numFmtId="167" fontId="0" fillId="3" borderId="0" pivotButton="0" quotePrefix="0" xfId="1"/>
    <xf numFmtId="168" fontId="0" fillId="3" borderId="0" pivotButton="0" quotePrefix="0" xfId="0"/>
    <xf numFmtId="0" fontId="0" fillId="3" borderId="0" applyAlignment="1" pivotButton="0" quotePrefix="0" xfId="0">
      <alignment horizontal="left" indent="2"/>
    </xf>
    <xf numFmtId="0" fontId="2" fillId="3" borderId="0" applyAlignment="1" pivotButton="0" quotePrefix="0" xfId="0">
      <alignment horizontal="left" indent="1"/>
    </xf>
    <xf numFmtId="0" fontId="7" fillId="0" borderId="0" pivotButton="0" quotePrefix="0" xfId="0"/>
    <xf numFmtId="0" fontId="8" fillId="0" borderId="0" pivotButton="0" quotePrefix="0" xfId="3"/>
    <xf numFmtId="168" fontId="0" fillId="5" borderId="0" pivotButton="0" quotePrefix="0" xfId="0"/>
    <xf numFmtId="0" fontId="5" fillId="6" borderId="0" applyAlignment="1" pivotButton="0" quotePrefix="0" xfId="0">
      <alignment horizontal="center"/>
    </xf>
    <xf numFmtId="0" fontId="5" fillId="6" borderId="0" pivotButton="0" quotePrefix="0" xfId="0"/>
    <xf numFmtId="0" fontId="0" fillId="5" borderId="0" pivotButton="0" quotePrefix="0" xfId="0"/>
    <xf numFmtId="49" fontId="5" fillId="6" borderId="0" applyAlignment="1" pivotButton="0" quotePrefix="0" xfId="0">
      <alignment horizontal="center"/>
    </xf>
    <xf numFmtId="0" fontId="0" fillId="0" borderId="0" applyAlignment="1" pivotButton="0" quotePrefix="0" xfId="0">
      <alignment wrapText="1"/>
    </xf>
    <xf numFmtId="0" fontId="0" fillId="0" borderId="0" applyAlignment="1" pivotButton="0" quotePrefix="0" xfId="0">
      <alignment vertical="center" wrapText="1"/>
    </xf>
    <xf numFmtId="0" fontId="0" fillId="0" borderId="0" applyAlignment="1" pivotButton="0" quotePrefix="0" xfId="0">
      <alignment horizontal="center" vertical="center" wrapText="1"/>
    </xf>
    <xf numFmtId="9" fontId="0" fillId="3" borderId="0" pivotButton="0" quotePrefix="0" xfId="0"/>
    <xf numFmtId="169" fontId="2" fillId="3" borderId="0" pivotButton="0" quotePrefix="0" xfId="0"/>
    <xf numFmtId="169" fontId="0" fillId="3" borderId="0" pivotButton="0" quotePrefix="0" xfId="1"/>
    <xf numFmtId="169" fontId="0" fillId="3" borderId="0" pivotButton="0" quotePrefix="0" xfId="0"/>
    <xf numFmtId="0" fontId="7" fillId="3" borderId="0" applyAlignment="1" pivotButton="0" quotePrefix="0" xfId="0">
      <alignment horizontal="center"/>
    </xf>
    <xf numFmtId="0" fontId="10" fillId="0" borderId="0" pivotButton="0" quotePrefix="0" xfId="4"/>
    <xf numFmtId="0" fontId="0" fillId="3" borderId="1" pivotButton="0" quotePrefix="0" xfId="0"/>
    <xf numFmtId="0" fontId="11" fillId="0" borderId="0" pivotButton="0" quotePrefix="0" xfId="3"/>
    <xf numFmtId="0" fontId="12" fillId="0" borderId="0" applyAlignment="1" pivotButton="0" quotePrefix="0" xfId="5">
      <alignment horizontal="center"/>
    </xf>
    <xf numFmtId="0" fontId="12" fillId="0" borderId="0" applyAlignment="1" pivotButton="0" quotePrefix="0" xfId="5">
      <alignment horizontal="left"/>
    </xf>
    <xf numFmtId="0" fontId="12" fillId="0" borderId="0" pivotButton="0" quotePrefix="0" xfId="5"/>
    <xf numFmtId="0" fontId="1" fillId="0" borderId="0" pivotButton="0" quotePrefix="0" xfId="5"/>
    <xf numFmtId="0" fontId="0" fillId="7" borderId="1" pivotButton="0" quotePrefix="0" xfId="0"/>
    <xf numFmtId="0" fontId="13" fillId="3" borderId="1" pivotButton="0" quotePrefix="0" xfId="0"/>
    <xf numFmtId="0" fontId="14" fillId="3" borderId="1" pivotButton="0" quotePrefix="0" xfId="0"/>
    <xf numFmtId="169" fontId="15" fillId="3" borderId="0" pivotButton="0" quotePrefix="0" xfId="1"/>
    <xf numFmtId="0" fontId="0" fillId="8" borderId="0" pivotButton="0" quotePrefix="0" xfId="0"/>
    <xf numFmtId="168" fontId="16" fillId="3" borderId="0" pivotButton="0" quotePrefix="0" xfId="0"/>
    <xf numFmtId="168" fontId="0" fillId="8" borderId="0" pivotButton="0" quotePrefix="0" xfId="0"/>
    <xf numFmtId="170" fontId="17" fillId="3" borderId="0" pivotButton="0" quotePrefix="0" xfId="1"/>
    <xf numFmtId="171" fontId="0" fillId="3" borderId="0" pivotButton="0" quotePrefix="0" xfId="0"/>
    <xf numFmtId="0" fontId="0" fillId="9" borderId="0" pivotButton="0" quotePrefix="0" xfId="0"/>
    <xf numFmtId="169" fontId="15" fillId="9" borderId="0" pivotButton="0" quotePrefix="0" xfId="1"/>
    <xf numFmtId="0" fontId="0" fillId="10" borderId="0" pivotButton="0" quotePrefix="0" xfId="0"/>
    <xf numFmtId="9" fontId="0" fillId="9" borderId="0" pivotButton="0" quotePrefix="0" xfId="0"/>
    <xf numFmtId="169" fontId="0" fillId="9" borderId="0" pivotButton="0" quotePrefix="0" xfId="1"/>
    <xf numFmtId="10" fontId="0" fillId="9" borderId="0" pivotButton="0" quotePrefix="0" xfId="0"/>
    <xf numFmtId="168" fontId="0" fillId="10" borderId="0" pivotButton="0" quotePrefix="0" xfId="0"/>
    <xf numFmtId="164" fontId="2" fillId="3" borderId="0" pivotButton="0" quotePrefix="0" xfId="1"/>
    <xf numFmtId="164" fontId="0" fillId="3" borderId="0" pivotButton="0" quotePrefix="0" xfId="1"/>
    <xf numFmtId="164" fontId="15" fillId="3" borderId="0" pivotButton="0" quotePrefix="0" xfId="1"/>
    <xf numFmtId="164" fontId="0" fillId="9" borderId="0" pivotButton="0" quotePrefix="0" xfId="1"/>
    <xf numFmtId="9" fontId="2" fillId="3" borderId="0" pivotButton="0" quotePrefix="0" xfId="0"/>
    <xf numFmtId="9" fontId="0" fillId="3" borderId="0" applyAlignment="1" pivotButton="0" quotePrefix="0" xfId="0">
      <alignment horizontal="center"/>
    </xf>
    <xf numFmtId="172" fontId="0" fillId="3" borderId="0" applyAlignment="1" pivotButton="0" quotePrefix="0" xfId="0">
      <alignment horizontal="center"/>
    </xf>
    <xf numFmtId="1" fontId="0" fillId="9" borderId="0" pivotButton="0" quotePrefix="0" xfId="1"/>
    <xf numFmtId="164" fontId="1" fillId="3" borderId="0" pivotButton="0" quotePrefix="0" xfId="1"/>
    <xf numFmtId="164" fontId="15" fillId="9" borderId="0" pivotButton="0" quotePrefix="0" xfId="1"/>
    <xf numFmtId="0" fontId="0" fillId="8" borderId="1" pivotButton="0" quotePrefix="0" xfId="0"/>
    <xf numFmtId="169" fontId="15" fillId="8" borderId="0" pivotButton="0" quotePrefix="0" xfId="1"/>
    <xf numFmtId="169" fontId="2" fillId="3" borderId="0" pivotButton="0" quotePrefix="0" xfId="1"/>
    <xf numFmtId="9" fontId="2" fillId="3" borderId="0" pivotButton="0" quotePrefix="0" xfId="2"/>
    <xf numFmtId="169" fontId="1" fillId="3" borderId="0" pivotButton="0" quotePrefix="0" xfId="1"/>
    <xf numFmtId="168" fontId="9" fillId="9" borderId="0" pivotButton="0" quotePrefix="0" xfId="0"/>
    <xf numFmtId="169" fontId="15" fillId="10" borderId="0" pivotButton="0" quotePrefix="0" xfId="1"/>
    <xf numFmtId="0" fontId="0" fillId="5" borderId="0" applyAlignment="1" pivotButton="0" quotePrefix="0" xfId="0">
      <alignment horizontal="center"/>
    </xf>
    <xf numFmtId="9" fontId="0" fillId="3" borderId="0" pivotButton="0" quotePrefix="0" xfId="2"/>
    <xf numFmtId="169" fontId="17" fillId="9" borderId="0" pivotButton="0" quotePrefix="0" xfId="1"/>
    <xf numFmtId="10" fontId="0" fillId="0" borderId="0" pivotButton="0" quotePrefix="0" xfId="0"/>
    <xf numFmtId="9" fontId="0" fillId="0" borderId="0" pivotButton="0" quotePrefix="0" xfId="1"/>
    <xf numFmtId="169" fontId="0" fillId="5" borderId="0" pivotButton="0" quotePrefix="0" xfId="0"/>
    <xf numFmtId="169" fontId="0" fillId="11" borderId="0" pivotButton="0" quotePrefix="0" xfId="0"/>
    <xf numFmtId="164" fontId="15" fillId="8" borderId="0" pivotButton="0" quotePrefix="0" xfId="1"/>
    <xf numFmtId="0" fontId="18" fillId="12" borderId="2" applyAlignment="1" pivotButton="0" quotePrefix="0" xfId="0">
      <alignment horizontal="left" wrapText="1" readingOrder="1"/>
    </xf>
    <xf numFmtId="0" fontId="18" fillId="13" borderId="2" applyAlignment="1" pivotButton="0" quotePrefix="0" xfId="0">
      <alignment horizontal="left" wrapText="1" readingOrder="1"/>
    </xf>
    <xf numFmtId="0" fontId="19" fillId="0" borderId="2" applyAlignment="1" pivotButton="0" quotePrefix="0" xfId="0">
      <alignment horizontal="left" wrapText="1" readingOrder="1"/>
    </xf>
    <xf numFmtId="0" fontId="19" fillId="9" borderId="2" applyAlignment="1" pivotButton="0" quotePrefix="0" xfId="0">
      <alignment horizontal="left" wrapText="1" readingOrder="1"/>
    </xf>
    <xf numFmtId="169" fontId="18" fillId="13" borderId="2" applyAlignment="1" pivotButton="0" quotePrefix="0" xfId="0">
      <alignment horizontal="left" wrapText="1" readingOrder="1"/>
    </xf>
    <xf numFmtId="169" fontId="19" fillId="0" borderId="2" applyAlignment="1" pivotButton="0" quotePrefix="0" xfId="0">
      <alignment horizontal="left" wrapText="1" readingOrder="1"/>
    </xf>
    <xf numFmtId="169" fontId="19" fillId="12" borderId="2" applyAlignment="1" pivotButton="0" quotePrefix="0" xfId="0">
      <alignment horizontal="left" wrapText="1" readingOrder="1"/>
    </xf>
    <xf numFmtId="169" fontId="20" fillId="13" borderId="2" applyAlignment="1" pivotButton="0" quotePrefix="0" xfId="0">
      <alignment horizontal="left" wrapText="1" readingOrder="1"/>
    </xf>
    <xf numFmtId="169" fontId="19" fillId="9" borderId="2" applyAlignment="1" pivotButton="0" quotePrefix="0" xfId="0">
      <alignment horizontal="left" wrapText="1" readingOrder="1"/>
    </xf>
    <xf numFmtId="169" fontId="19" fillId="13" borderId="2" applyAlignment="1" pivotButton="0" quotePrefix="0" xfId="0">
      <alignment horizontal="left" wrapText="1" readingOrder="1"/>
    </xf>
    <xf numFmtId="169" fontId="1" fillId="9" borderId="0" pivotButton="0" quotePrefix="0" xfId="1"/>
    <xf numFmtId="169" fontId="2" fillId="11" borderId="0" pivotButton="0" quotePrefix="0" xfId="0"/>
    <xf numFmtId="10" fontId="0" fillId="3" borderId="0" pivotButton="0" quotePrefix="0" xfId="0"/>
    <xf numFmtId="4" fontId="0" fillId="3" borderId="0" pivotButton="0" quotePrefix="0" xfId="0"/>
    <xf numFmtId="172" fontId="0" fillId="3" borderId="0" pivotButton="0" quotePrefix="0" xfId="0"/>
    <xf numFmtId="171" fontId="2" fillId="3" borderId="0" pivotButton="0" quotePrefix="0" xfId="0"/>
    <xf numFmtId="164" fontId="15" fillId="10" borderId="0" pivotButton="0" quotePrefix="0" xfId="1"/>
    <xf numFmtId="164" fontId="0" fillId="3" borderId="0" pivotButton="0" quotePrefix="0" xfId="0"/>
    <xf numFmtId="0" fontId="6" fillId="0" borderId="0" pivotButton="0" quotePrefix="0" xfId="0"/>
    <xf numFmtId="173" fontId="0" fillId="0" borderId="0" pivotButton="0" quotePrefix="0" xfId="0"/>
    <xf numFmtId="0" fontId="0" fillId="3" borderId="0" applyAlignment="1" pivotButton="0" quotePrefix="0" xfId="0">
      <alignment horizontal="left" indent="3"/>
    </xf>
    <xf numFmtId="2" fontId="9" fillId="9" borderId="0" pivotButton="0" quotePrefix="0" xfId="0"/>
    <xf numFmtId="2" fontId="0" fillId="8" borderId="0" pivotButton="0" quotePrefix="0" xfId="0"/>
    <xf numFmtId="0" fontId="22" fillId="5" borderId="0" applyAlignment="1" pivotButton="0" quotePrefix="0" xfId="0">
      <alignment horizontal="center"/>
    </xf>
    <xf numFmtId="0" fontId="23" fillId="3" borderId="0" pivotButton="0" quotePrefix="0" xfId="0"/>
    <xf numFmtId="0" fontId="0" fillId="3" borderId="0" applyAlignment="1" pivotButton="0" quotePrefix="0" xfId="0">
      <alignment horizontal="left"/>
    </xf>
    <xf numFmtId="9" fontId="24" fillId="0" borderId="0" applyAlignment="1" pivotButton="0" quotePrefix="0" xfId="0">
      <alignment horizontal="center"/>
    </xf>
    <xf numFmtId="1" fontId="23" fillId="3" borderId="0" applyAlignment="1" pivotButton="0" quotePrefix="0" xfId="0">
      <alignment horizontal="center"/>
    </xf>
    <xf numFmtId="0" fontId="23" fillId="3" borderId="0" applyAlignment="1" pivotButton="0" quotePrefix="0" xfId="0">
      <alignment horizontal="left"/>
    </xf>
    <xf numFmtId="9" fontId="15" fillId="3" borderId="0" pivotButton="0" quotePrefix="0" xfId="0"/>
    <xf numFmtId="0" fontId="25" fillId="3" borderId="0" pivotButton="0" quotePrefix="0" xfId="0"/>
    <xf numFmtId="9" fontId="25" fillId="3" borderId="0" pivotButton="0" quotePrefix="0" xfId="0"/>
    <xf numFmtId="0" fontId="25" fillId="0" borderId="0" pivotButton="0" quotePrefix="0" xfId="0"/>
    <xf numFmtId="10" fontId="27" fillId="3" borderId="0" pivotButton="0" quotePrefix="0" xfId="0"/>
    <xf numFmtId="10" fontId="2" fillId="3" borderId="0" pivotButton="0" quotePrefix="0" xfId="0"/>
    <xf numFmtId="4" fontId="27" fillId="3" borderId="0" pivotButton="0" quotePrefix="0" xfId="0"/>
    <xf numFmtId="0" fontId="2" fillId="3" borderId="0" applyAlignment="1" pivotButton="0" quotePrefix="0" xfId="0">
      <alignment horizontal="center"/>
    </xf>
    <xf numFmtId="3" fontId="27" fillId="3" borderId="0" pivotButton="0" quotePrefix="0" xfId="0"/>
    <xf numFmtId="9" fontId="27" fillId="3" borderId="0" pivotButton="0" quotePrefix="0" xfId="0"/>
    <xf numFmtId="3" fontId="0" fillId="3" borderId="0" pivotButton="0" quotePrefix="0" xfId="0"/>
    <xf numFmtId="3" fontId="2" fillId="3" borderId="0" pivotButton="0" quotePrefix="0" xfId="0"/>
    <xf numFmtId="0" fontId="28" fillId="0" borderId="0" pivotButton="0" quotePrefix="0" xfId="0"/>
    <xf numFmtId="0" fontId="23" fillId="0" borderId="0" pivotButton="0" quotePrefix="0" xfId="0"/>
    <xf numFmtId="0" fontId="29" fillId="0" borderId="0" pivotButton="0" quotePrefix="0" xfId="0"/>
    <xf numFmtId="0" fontId="26" fillId="0" borderId="0" pivotButton="0" quotePrefix="0" xfId="0"/>
    <xf numFmtId="174" fontId="30" fillId="0" borderId="0" pivotButton="0" quotePrefix="0" xfId="0"/>
    <xf numFmtId="174" fontId="2" fillId="0" borderId="0" pivotButton="0" quotePrefix="0" xfId="0"/>
    <xf numFmtId="174" fontId="23" fillId="0" borderId="0" pivotButton="0" quotePrefix="0" xfId="0"/>
    <xf numFmtId="174" fontId="31" fillId="0" borderId="0" pivotButton="0" quotePrefix="0" xfId="0"/>
    <xf numFmtId="174" fontId="0" fillId="0" borderId="0" pivotButton="0" quotePrefix="0" xfId="0"/>
    <xf numFmtId="0" fontId="33" fillId="0" borderId="0" pivotButton="0" quotePrefix="0" xfId="0"/>
    <xf numFmtId="174" fontId="27" fillId="0" borderId="0" pivotButton="0" quotePrefix="0" xfId="0"/>
    <xf numFmtId="1" fontId="27" fillId="0" borderId="0" applyAlignment="1" pivotButton="0" quotePrefix="0" xfId="0">
      <alignment horizontal="center"/>
    </xf>
    <xf numFmtId="3" fontId="27" fillId="0" borderId="0" pivotButton="0" quotePrefix="0" xfId="0"/>
    <xf numFmtId="174" fontId="21" fillId="0" borderId="0" pivotButton="0" quotePrefix="0" xfId="0"/>
    <xf numFmtId="0" fontId="2" fillId="0" borderId="3" pivotButton="0" quotePrefix="0" xfId="0"/>
    <xf numFmtId="1" fontId="2" fillId="0" borderId="3" applyAlignment="1" pivotButton="0" quotePrefix="0" xfId="0">
      <alignment horizontal="center"/>
    </xf>
    <xf numFmtId="0" fontId="2" fillId="0" borderId="4" pivotButton="0" quotePrefix="0" xfId="0"/>
    <xf numFmtId="0" fontId="0" fillId="0" borderId="4" pivotButton="0" quotePrefix="0" xfId="0"/>
    <xf numFmtId="174" fontId="2" fillId="0" borderId="4" pivotButton="0" quotePrefix="0" xfId="0"/>
    <xf numFmtId="0" fontId="32" fillId="0" borderId="4" pivotButton="0" quotePrefix="0" xfId="0"/>
    <xf numFmtId="174" fontId="2" fillId="14" borderId="0" pivotButton="0" quotePrefix="0" xfId="0"/>
    <xf numFmtId="174" fontId="2" fillId="14" borderId="4" pivotButton="0" quotePrefix="0" xfId="0"/>
    <xf numFmtId="1" fontId="34" fillId="0" borderId="0" applyAlignment="1" pivotButton="0" quotePrefix="0" xfId="0">
      <alignment horizontal="center"/>
    </xf>
    <xf numFmtId="174" fontId="30" fillId="9" borderId="0" pivotButton="0" quotePrefix="0" xfId="0"/>
    <xf numFmtId="175" fontId="0" fillId="3" borderId="0" pivotButton="0" quotePrefix="0" xfId="0"/>
    <xf numFmtId="175" fontId="0" fillId="9" borderId="0" pivotButton="0" quotePrefix="0" xfId="1"/>
    <xf numFmtId="175" fontId="30" fillId="3" borderId="0" pivotButton="0" quotePrefix="0" xfId="0"/>
    <xf numFmtId="166" fontId="25" fillId="3" borderId="0" pivotButton="0" quotePrefix="0" xfId="1"/>
    <xf numFmtId="170" fontId="25" fillId="3" borderId="0" pivotButton="0" quotePrefix="0" xfId="1"/>
    <xf numFmtId="175" fontId="30" fillId="9" borderId="0" pivotButton="0" quotePrefix="0" xfId="0"/>
    <xf numFmtId="0" fontId="3" fillId="4" borderId="0" pivotButton="0" quotePrefix="0" xfId="0"/>
    <xf numFmtId="171" fontId="25" fillId="3" borderId="0" pivotButton="0" quotePrefix="0" xfId="0"/>
    <xf numFmtId="164" fontId="15" fillId="5" borderId="0" pivotButton="0" quotePrefix="0" xfId="1"/>
    <xf numFmtId="0" fontId="15" fillId="3" borderId="0" pivotButton="0" quotePrefix="0" xfId="0"/>
    <xf numFmtId="164" fontId="15" fillId="3" borderId="0" pivotButton="0" quotePrefix="0" xfId="0"/>
    <xf numFmtId="164" fontId="0" fillId="8" borderId="0" pivotButton="0" quotePrefix="0" xfId="0"/>
    <xf numFmtId="164" fontId="1" fillId="8" borderId="0" pivotButton="0" quotePrefix="0" xfId="1"/>
    <xf numFmtId="164" fontId="0" fillId="8" borderId="0" pivotButton="0" quotePrefix="0" xfId="1"/>
    <xf numFmtId="169" fontId="17" fillId="3" borderId="0" pivotButton="0" quotePrefix="0" xfId="0"/>
    <xf numFmtId="0" fontId="17" fillId="3" borderId="0" pivotButton="0" quotePrefix="0" xfId="0"/>
    <xf numFmtId="175" fontId="15" fillId="3" borderId="0" pivotButton="0" quotePrefix="0" xfId="0"/>
    <xf numFmtId="175" fontId="17" fillId="3" borderId="0" pivotButton="0" quotePrefix="0" xfId="0"/>
    <xf numFmtId="175" fontId="15" fillId="0" borderId="0" pivotButton="0" quotePrefix="0" xfId="0"/>
    <xf numFmtId="171" fontId="15" fillId="3" borderId="0" pivotButton="0" quotePrefix="0" xfId="0"/>
    <xf numFmtId="164" fontId="17" fillId="3" borderId="0" pivotButton="0" quotePrefix="0" xfId="1"/>
    <xf numFmtId="0" fontId="35" fillId="3" borderId="1" pivotButton="0" quotePrefix="0" xfId="0"/>
    <xf numFmtId="0" fontId="35" fillId="0" borderId="0" pivotButton="0" quotePrefix="0" xfId="0"/>
    <xf numFmtId="3" fontId="0" fillId="0" borderId="0" pivotButton="0" quotePrefix="0" xfId="0"/>
    <xf numFmtId="2" fontId="0" fillId="5" borderId="0" pivotButton="0" quotePrefix="0" xfId="0"/>
    <xf numFmtId="2" fontId="0" fillId="0" borderId="0" pivotButton="0" quotePrefix="0" xfId="0"/>
    <xf numFmtId="172" fontId="0" fillId="0" borderId="0" pivotButton="0" quotePrefix="0" xfId="0"/>
    <xf numFmtId="0" fontId="0" fillId="0" borderId="0" applyAlignment="1" pivotButton="0" quotePrefix="0" xfId="0">
      <alignment horizontal="center"/>
    </xf>
    <xf numFmtId="0" fontId="0" fillId="0" borderId="0" pivotButton="0" quotePrefix="0" xfId="0"/>
    <xf numFmtId="0" fontId="36" fillId="2" borderId="0" pivotButton="0" quotePrefix="0" xfId="0"/>
    <xf numFmtId="174" fontId="2" fillId="0" borderId="4" pivotButton="0" quotePrefix="0" xfId="0"/>
    <xf numFmtId="3" fontId="15" fillId="0" borderId="0" pivotButton="0" quotePrefix="0" xfId="0"/>
    <xf numFmtId="166" fontId="0" fillId="0" borderId="0" pivotButton="0" quotePrefix="0" xfId="1"/>
    <xf numFmtId="166" fontId="0" fillId="0" borderId="0" pivotButton="0" quotePrefix="0" xfId="0"/>
    <xf numFmtId="169" fontId="2" fillId="3" borderId="0" pivotButton="0" quotePrefix="0" xfId="0"/>
    <xf numFmtId="169" fontId="1" fillId="9" borderId="0" pivotButton="0" quotePrefix="0" xfId="1"/>
    <xf numFmtId="169" fontId="15" fillId="10" borderId="0" pivotButton="0" quotePrefix="0" xfId="1"/>
    <xf numFmtId="169" fontId="15" fillId="8" borderId="0" pivotButton="0" quotePrefix="0" xfId="1"/>
    <xf numFmtId="169" fontId="17" fillId="9" borderId="0" pivotButton="0" quotePrefix="0" xfId="1"/>
    <xf numFmtId="169" fontId="15" fillId="9" borderId="0" pivotButton="0" quotePrefix="0" xfId="1"/>
    <xf numFmtId="167" fontId="0" fillId="3" borderId="0" pivotButton="0" quotePrefix="0" xfId="1"/>
    <xf numFmtId="169" fontId="0" fillId="9" borderId="0" pivotButton="0" quotePrefix="0" xfId="1"/>
    <xf numFmtId="169" fontId="2" fillId="3" borderId="0" pivotButton="0" quotePrefix="0" xfId="1"/>
    <xf numFmtId="169" fontId="15" fillId="3" borderId="0" pivotButton="0" quotePrefix="0" xfId="1"/>
    <xf numFmtId="169" fontId="0" fillId="3" borderId="0" pivotButton="0" quotePrefix="0" xfId="1"/>
    <xf numFmtId="169" fontId="0" fillId="3" borderId="0" pivotButton="0" quotePrefix="0" xfId="0"/>
    <xf numFmtId="169" fontId="1" fillId="3" borderId="0" pivotButton="0" quotePrefix="0" xfId="1"/>
    <xf numFmtId="169" fontId="2" fillId="11" borderId="0" pivotButton="0" quotePrefix="0" xfId="0"/>
    <xf numFmtId="169" fontId="0" fillId="11" borderId="0" pivotButton="0" quotePrefix="0" xfId="0"/>
    <xf numFmtId="169" fontId="0" fillId="5" borderId="0" pivotButton="0" quotePrefix="0" xfId="0"/>
    <xf numFmtId="172" fontId="0" fillId="3" borderId="0" applyAlignment="1" pivotButton="0" quotePrefix="0" xfId="0">
      <alignment horizontal="center"/>
    </xf>
    <xf numFmtId="171" fontId="2" fillId="3" borderId="0" pivotButton="0" quotePrefix="0" xfId="0"/>
    <xf numFmtId="166" fontId="25" fillId="3" borderId="0" pivotButton="0" quotePrefix="0" xfId="1"/>
    <xf numFmtId="170" fontId="25" fillId="3" borderId="0" pivotButton="0" quotePrefix="0" xfId="1"/>
    <xf numFmtId="171" fontId="25" fillId="3" borderId="0" pivotButton="0" quotePrefix="0" xfId="0"/>
    <xf numFmtId="169" fontId="17" fillId="3" borderId="0" pivotButton="0" quotePrefix="0" xfId="0"/>
    <xf numFmtId="175" fontId="15" fillId="3" borderId="0" pivotButton="0" quotePrefix="0" xfId="0"/>
    <xf numFmtId="175" fontId="17" fillId="3" borderId="0" pivotButton="0" quotePrefix="0" xfId="0"/>
    <xf numFmtId="175" fontId="15" fillId="0" borderId="0" pivotButton="0" quotePrefix="0" xfId="0"/>
    <xf numFmtId="175" fontId="0" fillId="3" borderId="0" pivotButton="0" quotePrefix="0" xfId="0"/>
    <xf numFmtId="175" fontId="0" fillId="9" borderId="0" pivotButton="0" quotePrefix="0" xfId="1"/>
    <xf numFmtId="175" fontId="30" fillId="9" borderId="0" pivotButton="0" quotePrefix="0" xfId="0"/>
    <xf numFmtId="175" fontId="30" fillId="3" borderId="0" pivotButton="0" quotePrefix="0" xfId="0"/>
    <xf numFmtId="171" fontId="15" fillId="3" borderId="0" pivotButton="0" quotePrefix="0" xfId="0"/>
    <xf numFmtId="171" fontId="0" fillId="3" borderId="0" pivotButton="0" quotePrefix="0" xfId="0"/>
    <xf numFmtId="172" fontId="0" fillId="0" borderId="0" pivotButton="0" quotePrefix="0" xfId="0"/>
    <xf numFmtId="173" fontId="0" fillId="0" borderId="0" pivotButton="0" quotePrefix="0" xfId="0"/>
    <xf numFmtId="0" fontId="37" fillId="0" borderId="0" pivotButton="0" quotePrefix="0" xfId="0"/>
    <xf numFmtId="169" fontId="19" fillId="12" borderId="2" applyAlignment="1" pivotButton="0" quotePrefix="0" xfId="0">
      <alignment horizontal="left" wrapText="1" readingOrder="1"/>
    </xf>
    <xf numFmtId="169" fontId="18" fillId="13" borderId="2" applyAlignment="1" pivotButton="0" quotePrefix="0" xfId="0">
      <alignment horizontal="left" wrapText="1" readingOrder="1"/>
    </xf>
    <xf numFmtId="169" fontId="19" fillId="0" borderId="2" applyAlignment="1" pivotButton="0" quotePrefix="0" xfId="0">
      <alignment horizontal="left" wrapText="1" readingOrder="1"/>
    </xf>
    <xf numFmtId="169" fontId="20" fillId="13" borderId="2" applyAlignment="1" pivotButton="0" quotePrefix="0" xfId="0">
      <alignment horizontal="left" wrapText="1" readingOrder="1"/>
    </xf>
    <xf numFmtId="169" fontId="19" fillId="9" borderId="2" applyAlignment="1" pivotButton="0" quotePrefix="0" xfId="0">
      <alignment horizontal="left" wrapText="1" readingOrder="1"/>
    </xf>
    <xf numFmtId="169" fontId="19" fillId="13" borderId="2" applyAlignment="1" pivotButton="0" quotePrefix="0" xfId="0">
      <alignment horizontal="left" wrapText="1" readingOrder="1"/>
    </xf>
    <xf numFmtId="174" fontId="30" fillId="0" borderId="0" pivotButton="0" quotePrefix="0" xfId="0"/>
    <xf numFmtId="174" fontId="30" fillId="9" borderId="0" pivotButton="0" quotePrefix="0" xfId="0"/>
    <xf numFmtId="174" fontId="2" fillId="0" borderId="4" pivotButton="0" quotePrefix="0" xfId="0"/>
    <xf numFmtId="174" fontId="23" fillId="0" borderId="0" pivotButton="0" quotePrefix="0" xfId="0"/>
    <xf numFmtId="174" fontId="31" fillId="0" borderId="0" pivotButton="0" quotePrefix="0" xfId="0"/>
    <xf numFmtId="174" fontId="0" fillId="0" borderId="0" pivotButton="0" quotePrefix="0" xfId="0"/>
    <xf numFmtId="174" fontId="2" fillId="0" borderId="0" pivotButton="0" quotePrefix="0" xfId="0"/>
    <xf numFmtId="174" fontId="27" fillId="0" borderId="0" pivotButton="0" quotePrefix="0" xfId="0"/>
    <xf numFmtId="174" fontId="21" fillId="0" borderId="0" pivotButton="0" quotePrefix="0" xfId="0"/>
    <xf numFmtId="174" fontId="2" fillId="14" borderId="0" pivotButton="0" quotePrefix="0" xfId="0"/>
    <xf numFmtId="174" fontId="2" fillId="14" borderId="4" pivotButton="0" quotePrefix="0" xfId="0"/>
    <xf numFmtId="168" fontId="9" fillId="9" borderId="0" pivotButton="0" quotePrefix="0" xfId="0"/>
    <xf numFmtId="168" fontId="0" fillId="3" borderId="0" pivotButton="0" quotePrefix="0" xfId="0"/>
    <xf numFmtId="168" fontId="0" fillId="8" borderId="0" pivotButton="0" quotePrefix="0" xfId="0"/>
    <xf numFmtId="168" fontId="16" fillId="3" borderId="0" pivotButton="0" quotePrefix="0" xfId="0"/>
    <xf numFmtId="168" fontId="0" fillId="5" borderId="0" pivotButton="0" quotePrefix="0" xfId="0"/>
    <xf numFmtId="168" fontId="0" fillId="10" borderId="0" pivotButton="0" quotePrefix="0" xfId="0"/>
    <xf numFmtId="170" fontId="17" fillId="3" borderId="0" pivotButton="0" quotePrefix="0" xfId="1"/>
    <xf numFmtId="172" fontId="0" fillId="3" borderId="0" pivotButton="0" quotePrefix="0" xfId="0"/>
  </cellXfs>
  <cellStyles count="6">
    <cellStyle name="Normal" xfId="0" builtinId="0"/>
    <cellStyle name="Comma" xfId="1" builtinId="3"/>
    <cellStyle name="Per cent" xfId="2" builtinId="5"/>
    <cellStyle name="Hyperlink" xfId="3" builtinId="8"/>
    <cellStyle name="Normal 4" xfId="4"/>
    <cellStyle name="Normal 3" xfId="5"/>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omments/comment1.xml><?xml version="1.0" encoding="utf-8"?>
<comments xmlns="http://schemas.openxmlformats.org/spreadsheetml/2006/main">
  <authors>
    <author>Evgeniy Myasin</author>
  </authors>
  <commentList>
    <comment ref="F6" authorId="0" shapeId="0">
      <text>
        <t>Evgeniy Myasin:
Toggle: choose Printsmarter or Elanders. Drives COGS rows 33-36.</t>
      </text>
    </comment>
    <comment ref="F7" authorId="0" shapeId="0">
      <text>
        <t>Feeds CHOOSE() in the COGS formulas: 1 = Printsmarter block, 2 = Elanders block.</t>
      </text>
    </comment>
    <comment ref="I47" authorId="0" shapeId="0">
      <text>
        <t>Evgeniy Myasin:
Step-down match on Assumptions row 20 (books/day breakpoints).</t>
      </text>
    </comment>
    <comment ref="J47" authorId="0" shapeId="0">
      <text>
        <t>Evgeniy Myasin:
Step-down match on Assumptions row 20 (books/day breakpoints).</t>
      </text>
    </comment>
    <comment ref="K47" authorId="0" shapeId="0">
      <text>
        <t>Evgeniy Myasin:
Step-down match on Assumptions row 20 (books/day breakpoints).</t>
      </text>
    </comment>
    <comment ref="L47" authorId="0" shapeId="0">
      <text>
        <t>Evgeniy Myasin:
Step-down match on Assumptions row 20 (books/day breakpoints).</t>
      </text>
    </comment>
    <comment ref="M47" authorId="0" shapeId="0">
      <text>
        <t>Evgeniy Myasin:
Step-down match on Assumptions row 20 (books/day breakpoints).</t>
      </text>
    </comment>
    <comment ref="N47" authorId="0" shapeId="0">
      <text>
        <t>Evgeniy Myasin:
Step-down match on Assumptions row 20 (books/day breakpoints).</t>
      </text>
    </comment>
    <comment ref="O47" authorId="0" shapeId="0">
      <text>
        <t>Evgeniy Myasin:
Step-down match on Assumptions row 20 (books/day breakpoints).</t>
      </text>
    </comment>
    <comment ref="P47" authorId="0" shapeId="0">
      <text>
        <t>Evgeniy Myasin:
Step-down match on Assumptions row 20 (books/day breakpoints).</t>
      </text>
    </comment>
    <comment ref="Q47" authorId="0" shapeId="0">
      <text>
        <t>Evgeniy Myasin:
Step-down match on Assumptions row 20 (books/day breakpoints).</t>
      </text>
    </comment>
    <comment ref="R47" authorId="0" shapeId="0">
      <text>
        <t>Evgeniy Myasin:
Step-down match on Assumptions row 20 (books/day breakpoints).</t>
      </text>
    </comment>
    <comment ref="I54" authorId="0" shapeId="0">
      <text>
        <t>Evgeniy Myasin:
Sales attributable to royalty templates (pro-rata by template count) x royalty fee (Assumptions!F77).</t>
      </text>
    </comment>
    <comment ref="J64" authorId="0" shapeId="0">
      <text>
        <t>Evgeniy Myasin:
Pre-launch template assumed at the same rate as the intro set.</t>
      </text>
    </comment>
    <comment ref="K64" authorId="0" shapeId="0">
      <text>
        <t>Evgeniy Myasin:
Assumptions!F76 - cost per template from 2027 onwards.</t>
      </text>
    </comment>
    <comment ref="L64" authorId="0" shapeId="0">
      <text>
        <t>Evgeniy Myasin:
Assumptions!F76 - cost per template from 2027 onwards.</t>
      </text>
    </comment>
    <comment ref="M64" authorId="0" shapeId="0">
      <text>
        <t>Evgeniy Myasin:
Assumptions!F76 - cost per template from 2027 onwards.</t>
      </text>
    </comment>
    <comment ref="N64" authorId="0" shapeId="0">
      <text>
        <t>Evgeniy Myasin:
Assumptions!F76 - cost per template from 2027 onwards.</t>
      </text>
    </comment>
    <comment ref="O64" authorId="0" shapeId="0">
      <text>
        <t>Evgeniy Myasin:
Assumptions!F76 - cost per template from 2027 onwards.</t>
      </text>
    </comment>
    <comment ref="P64" authorId="0" shapeId="0">
      <text>
        <t>Evgeniy Myasin:
Assumptions!F76 - cost per template from 2027 onwards.</t>
      </text>
    </comment>
    <comment ref="Q64" authorId="0" shapeId="0">
      <text>
        <t>Evgeniy Myasin:
Assumptions!F76 - cost per template from 2027 onwards.</t>
      </text>
    </comment>
    <comment ref="R64" authorId="0" shapeId="0">
      <text>
        <t>Evgeniy Myasin:
Assumptions!F76 - cost per template from 2027 onwards.</t>
      </text>
    </comment>
    <comment ref="I81" authorId="0" shapeId="0">
      <text>
        <t>Evgeniy Myasin:
Annual SVS from the 'Tax &amp; Founder income' tab, spread evenly across the model quarters of that year. Computed annually because the min/max contribution bases and the 26.83% rate apply to a full-year base. SVS is genuinely billed quarterly (end Feb/May/Aug/Nov).</t>
      </text>
    </comment>
    <comment ref="J81" authorId="0" shapeId="0">
      <text>
        <t>Evgeniy Myasin:
Annual SVS from the 'Tax &amp; Founder income' tab, spread evenly across the model quarters of that year. Computed annually because the min/max contribution bases and the 26.83% rate apply to a full-year base. SVS is genuinely billed quarterly (end Feb/May/Aug/Nov).</t>
      </text>
    </comment>
    <comment ref="K81" authorId="0" shapeId="0">
      <text>
        <t>Evgeniy Myasin:
Annual SVS from the 'Tax &amp; Founder income' tab, spread evenly across the model quarters of that year. Computed annually because the min/max contribution bases and the 26.83% rate apply to a full-year base. SVS is genuinely billed quarterly (end Feb/May/Aug/Nov).</t>
      </text>
    </comment>
    <comment ref="L81" authorId="0" shapeId="0">
      <text>
        <t>Evgeniy Myasin:
Annual SVS from the 'Tax &amp; Founder income' tab, spread evenly across the model quarters of that year. Computed annually because the min/max contribution bases and the 26.83% rate apply to a full-year base. SVS is genuinely billed quarterly (end Feb/May/Aug/Nov).</t>
      </text>
    </comment>
    <comment ref="M81" authorId="0" shapeId="0">
      <text>
        <t>Evgeniy Myasin:
Annual SVS from the 'Tax &amp; Founder income' tab, spread evenly across the model quarters of that year. Computed annually because the min/max contribution bases and the 26.83% rate apply to a full-year base. SVS is genuinely billed quarterly (end Feb/May/Aug/Nov).</t>
      </text>
    </comment>
    <comment ref="N81" authorId="0" shapeId="0">
      <text>
        <t>Evgeniy Myasin:
Annual SVS from the 'Tax &amp; Founder income' tab, spread evenly across the model quarters of that year. Computed annually because the min/max contribution bases and the 26.83% rate apply to a full-year base. SVS is genuinely billed quarterly (end Feb/May/Aug/Nov).</t>
      </text>
    </comment>
    <comment ref="O81" authorId="0" shapeId="0">
      <text>
        <t>Evgeniy Myasin:
Annual SVS from the 'Tax &amp; Founder income' tab, spread evenly across the model quarters of that year. Computed annually because the min/max contribution bases and the 26.83% rate apply to a full-year base. SVS is genuinely billed quarterly (end Feb/May/Aug/Nov).</t>
      </text>
    </comment>
    <comment ref="P81" authorId="0" shapeId="0">
      <text>
        <t>Evgeniy Myasin:
Annual SVS from the 'Tax &amp; Founder income' tab, spread evenly across the model quarters of that year. Computed annually because the min/max contribution bases and the 26.83% rate apply to a full-year base. SVS is genuinely billed quarterly (end Feb/May/Aug/Nov).</t>
      </text>
    </comment>
    <comment ref="Q81" authorId="0" shapeId="0">
      <text>
        <t>Evgeniy Myasin:
Annual SVS from the 'Tax &amp; Founder income' tab, spread evenly across the model quarters of that year. Computed annually because the min/max contribution bases and the 26.83% rate apply to a full-year base. SVS is genuinely billed quarterly (end Feb/May/Aug/Nov).</t>
      </text>
    </comment>
    <comment ref="R81" authorId="0" shapeId="0">
      <text>
        <t>Evgeniy Myasin:
Annual SVS from the 'Tax &amp; Founder income' tab, spread evenly across the model quarters of that year. Computed annually because the min/max contribution bases and the 26.83% rate apply to a full-year base. SVS is genuinely billed quarterly (end Feb/May/Aug/Nov).</t>
      </text>
    </comment>
  </commentList>
</comments>
</file>

<file path=xl/comments/comment2.xml><?xml version="1.0" encoding="utf-8"?>
<comments xmlns="http://schemas.openxmlformats.org/spreadsheetml/2006/main">
  <authors>
    <author>Evgeniy Myasin</author>
  </authors>
  <commentList>
    <comment ref="F14" authorId="0" shapeId="0">
      <text>
        <t>Points at quarterly row 69 ONLY - deliberately NOT the row-68 subtotal, because row 68 now includes SVS (row 70) which is computed in block 2 below. Pointing this at row 68 would create a circular reference.</t>
      </text>
    </comment>
    <comment ref="G14" authorId="0" shapeId="0">
      <text>
        <t>Evgeniy Myasin:
Freelance fee only - no employer social contributions, no 13th/14th payment.</t>
      </text>
    </comment>
    <comment ref="H14" authorId="0" shapeId="0">
      <text>
        <t>Evgeniy Myasin:
Freelance fee only - no employer social contributions, no 13th/14th payment.</t>
      </text>
    </comment>
    <comment ref="F15" authorId="0" shapeId="0">
      <text>
        <t>Linked to quarterly row 72 (Marketing costs) - currently empty, will populate once that block is built.</t>
      </text>
    </comment>
    <comment ref="G15" authorId="0" shapeId="0">
      <text>
        <t>Evgeniy Myasin:
PLACEHOLDER - marketing block not built yet. Replace with a SUMIF link to the quarterly marketing row once it exists.</t>
      </text>
    </comment>
    <comment ref="H15" authorId="0" shapeId="0">
      <text>
        <t>Evgeniy Myasin:
PLACEHOLDER - marketing block not built yet. Replace with a SUMIF link to the quarterly marketing row once it exists.</t>
      </text>
    </comment>
    <comment ref="F19" authorId="0" shapeId="0">
      <text>
        <t>Evgeniy Myasin:
Business registered mid-2026 - insured for H2 only. Min/max contribution base and the flat UV amount are pro-rated on this.</t>
      </text>
    </comment>
    <comment ref="F20" authorId="0" shapeId="0">
      <text>
        <t>Evgeniy Myasin:
Beitragsgrundlage = profit per tax assessment PLUS the PV/KV contributions of that year - i.e. profit BEFORE those contributions. That is why this line uses profit before SVS and there is no circular reference.</t>
      </text>
    </comment>
    <comment ref="G20" authorId="0" shapeId="0">
      <text>
        <t>Evgeniy Myasin:
Beitragsgrundlage = profit per tax assessment PLUS the PV/KV contributions of that year - i.e. profit BEFORE those contributions. That is why this line uses profit before SVS and there is no circular reference.</t>
      </text>
    </comment>
    <comment ref="H20" authorId="0" shapeId="0">
      <text>
        <t>Evgeniy Myasin:
Beitragsgrundlage = profit per tax assessment PLUS the PV/KV contributions of that year - i.e. profit BEFORE those contributions. That is why this line uses profit before SVS and there is no circular reference.</t>
      </text>
    </comment>
    <comment ref="F23" authorId="0" shapeId="0">
      <text>
        <t>Evgeniy Myasin:
Floored at the Mindestbeitragsgrundlage - contributions are due even in a loss year.</t>
      </text>
    </comment>
    <comment ref="G23" authorId="0" shapeId="0">
      <text>
        <t>Evgeniy Myasin:
Floored at the Mindestbeitragsgrundlage - contributions are due even in a loss year.</t>
      </text>
    </comment>
    <comment ref="H23" authorId="0" shapeId="0">
      <text>
        <t>Evgeniy Myasin:
Floored at the Mindestbeitragsgrundlage - contributions are due even in a loss year.</t>
      </text>
    </comment>
    <comment ref="F32" authorId="0" shapeId="0">
      <text>
        <t>Evgeniy Myasin:
15% of profit up to EUR 33,000 (max EUR 4,950), automatic and no investment required. Investment-based allowance above EUR 33,000 is NOT modelled.</t>
      </text>
    </comment>
    <comment ref="G32" authorId="0" shapeId="0">
      <text>
        <t>Evgeniy Myasin:
15% of profit up to EUR 33,000 (max EUR 4,950), automatic and no investment required. Investment-based allowance above EUR 33,000 is NOT modelled.</t>
      </text>
    </comment>
    <comment ref="H32" authorId="0" shapeId="0">
      <text>
        <t>Evgeniy Myasin:
15% of profit up to EUR 33,000 (max EUR 4,950), automatic and no investment required. Investment-based allowance above EUR 33,000 is NOT modelled.</t>
      </text>
    </comment>
    <comment ref="F34" authorId="0" shapeId="0">
      <text>
        <t>Evgeniy Myasin:
No losses brought into the model before 3Q 2026.</t>
      </text>
    </comment>
    <comment ref="G34" authorId="0" shapeId="0">
      <text>
        <t>Opening balance = prior year closing (F35).</t>
      </text>
    </comment>
    <comment ref="H34" authorId="0" shapeId="0">
      <text>
        <t>Opening balance = prior year closing (G35).</t>
      </text>
    </comment>
    <comment ref="F50" authorId="0" shapeId="0">
      <text>
        <t>Evgeniy Myasin:
Profit after SVS less income tax. This is the cash the business can support as Privatentnahme - it is not a payroll cost.</t>
      </text>
    </comment>
    <comment ref="G50" authorId="0" shapeId="0">
      <text>
        <t>Evgeniy Myasin:
Profit after SVS less income tax. This is the cash the business can support as Privatentnahme - it is not a payroll cost.</t>
      </text>
    </comment>
    <comment ref="H50" authorId="0" shapeId="0">
      <text>
        <t>Evgeniy Myasin:
Profit after SVS less income tax. This is the cash the business can support as Privatentnahme - it is not a payroll cost.</t>
      </text>
    </comment>
    <comment ref="F51" authorId="0" shapeId="0">
      <text>
        <t>Evgeniy Myasin:
2026 = H2 only (Jul-Dec).</t>
      </text>
    </comment>
    <comment ref="G51" authorId="0" shapeId="0">
      <text>
        <t>Full calendar year.</t>
      </text>
    </comment>
    <comment ref="H51" authorId="0" shapeId="0">
      <text>
        <t>Full calendar year.</t>
      </text>
    </comment>
    <comment ref="F54" authorId="0" shapeId="0">
      <text>
        <t>Evgeniy Myasin:
Target starts mid-2027: 2026 = 0, 2027 = 6 (Jul-Dec), 2028 = 12.</t>
      </text>
    </comment>
    <comment ref="G54" authorId="0" shapeId="0">
      <text>
        <t>Target starts mid-2027: Jul-Dec = 6 months.</t>
      </text>
    </comment>
    <comment ref="H54" authorId="0" shapeId="0">
      <text>
        <t>Full year at target.</t>
      </text>
    </comment>
  </commentList>
</comments>
</file>

<file path=xl/comments/comment3.xml><?xml version="1.0" encoding="utf-8"?>
<comments xmlns="http://schemas.openxmlformats.org/spreadsheetml/2006/main">
  <authors>
    <author>Evgeniy Myasin</author>
  </authors>
  <commentList>
    <comment ref="F90" authorId="0" shapeId="0">
      <text>
        <t>Evgeniy Myasin:
Source: WKO - Gewerbliche Sozialversicherungsbeitraege Ausmass, https://www.wko.at/sozialversicherung/gewerbliche-sozialversicherungsbeitraege-ausmass (2026)</t>
      </text>
    </comment>
    <comment ref="F91" authorId="0" shapeId="0">
      <text>
        <t>Evgeniy Myasin:
Source: WKO - Gewerbliche Sozialversicherungsbeitraege Ausmass, https://www.wko.at/sozialversicherung/gewerbliche-sozialversicherungsbeitraege-ausmass (2026)</t>
      </text>
    </comment>
    <comment ref="F92" authorId="0" shapeId="0">
      <text>
        <t>Evgeniy Myasin:
Source: WKO - Gewerbliche Sozialversicherungsbeitraege Ausmass, https://www.wko.at/sozialversicherung/gewerbliche-sozialversicherungsbeitraege-ausmass (2026)</t>
      </text>
    </comment>
    <comment ref="F94" authorId="0" shapeId="0">
      <text>
        <t>Evgeniy Myasin:
Flat monthly amount, income-independent (EUR 155.40/year). Source: WKO, https://www.wko.at/sozialversicherung/gewerbliche-sozialversicherungsbeitraege-ausmass (2026)</t>
      </text>
    </comment>
    <comment ref="F95" authorId="0" shapeId="0">
      <text>
        <t>Evgeniy Myasin:
Mindestbeitragsgrundlage 2026: EUR 551.10/month (EUR 6,613.20/year). Payable even at zero or negative profit. Source: WKO, https://www.wko.at/sozialversicherung/gewerbliche-sozialversicherungsbeitraege-ausmass</t>
      </text>
    </comment>
    <comment ref="F96" authorId="0" shapeId="0">
      <text>
        <t>Evgeniy Myasin:
Hoechstbeitragsgrundlage 2026: EUR 8,085/month (EUR 97,020/year). Source: WKO, https://www.wko.at/sozialversicherung/gewerbliche-sozialversicherungsbeitraege-ausmass</t>
      </text>
    </comment>
    <comment ref="G100" authorId="0" shapeId="0">
      <text>
        <t>Evgeniy Myasin:
Source: BMF - Steuertarif, https://www.bmf.gv.at/themen/steuern/arbeitnehmerveranlagung/steuertarif-steuerabsetzbetraege/steuertarif-steuerabsetzbetraege.html (2026 brackets, indexed +1.733%)</t>
      </text>
    </comment>
    <comment ref="G101" authorId="0" shapeId="0">
      <text>
        <t>Evgeniy Myasin:
Source: BMF - Steuertarif, https://www.bmf.gv.at/themen/steuern/arbeitnehmerveranlagung/steuertarif-steuerabsetzbetraege/steuertarif-steuerabsetzbetraege.html (2026)</t>
      </text>
    </comment>
    <comment ref="G102" authorId="0" shapeId="0">
      <text>
        <t>Evgeniy Myasin:
Source: BMF - Steuertarif, https://www.bmf.gv.at/themen/steuern/arbeitnehmerveranlagung/steuertarif-steuerabsetzbetraege/steuertarif-steuerabsetzbetraege.html (2026)</t>
      </text>
    </comment>
    <comment ref="G103" authorId="0" shapeId="0">
      <text>
        <t>Evgeniy Myasin:
Source: BMF - Steuertarif, https://www.bmf.gv.at/themen/steuern/arbeitnehmerveranlagung/steuertarif-steuerabsetzbetraege/steuertarif-steuerabsetzbetraege.html (2026)</t>
      </text>
    </comment>
    <comment ref="G104" authorId="0" shapeId="0">
      <text>
        <t>Evgeniy Myasin:
Source: BMF - Steuertarif, https://www.bmf.gv.at/themen/steuern/arbeitnehmerveranlagung/steuertarif-steuerabsetzbetraege/steuertarif-steuerabsetzbetraege.html (2026)</t>
      </text>
    </comment>
    <comment ref="G105" authorId="0" shapeId="0">
      <text>
        <t>Evgeniy Myasin:
Source: BMF - Steuertarif (2026). 55% above EUR 1m applies 2016-2029.</t>
      </text>
    </comment>
    <comment ref="G106" authorId="0" shapeId="0">
      <text>
        <t>Evgeniy Myasin:
Technical upper bound - no cap in law.</t>
      </text>
    </comment>
    <comment ref="F109" authorId="0" shapeId="0">
      <text>
        <t>Evgeniy Myasin:
Source: WKO - Der Gewinnfreibetrag, https://www.wko.at/steuern/der-gewinnfreibetrag . 15% of profit, no investment required.</t>
      </text>
    </comment>
    <comment ref="F110" authorId="0" shapeId="0">
      <text>
        <t>Evgeniy Myasin:
Source: WKO - Der Gewinnfreibetrag, https://www.wko.at/steuern/der-gewinnfreibetrag . Above EUR 33,000 only the investment-based allowance applies (not modelled).</t>
      </text>
    </comment>
    <comment ref="F112" authorId="0" shapeId="0">
      <text>
        <t>Evgeniy Myasin:
Verlustvortrag. Set to 100% for individuals; parameterised so it can be adjusted.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companies.rbc.ru/id/1157746985285-ooo-periodika-press/" TargetMode="External" Id="rId1"/></Relationships>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6.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7.xml.rels><Relationships xmlns="http://schemas.openxmlformats.org/package/2006/relationships"><Relationship Type="http://schemas.openxmlformats.org/officeDocument/2006/relationships/hyperlink" Target="https://bruttonetto.finanzrechner.at/en/" TargetMode="External" Id="rId1"/></Relationships>
</file>

<file path=xl/worksheets/_rels/sheet8.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12.xml.rels><Relationships xmlns="http://schemas.openxmlformats.org/package/2006/relationships"><Relationship Type="http://schemas.openxmlformats.org/officeDocument/2006/relationships/hyperlink" Target="https://www.elanders.com/pol/print-products/" TargetMode="External" Id="rId1"/><Relationship Type="http://schemas.openxmlformats.org/officeDocument/2006/relationships/hyperlink" Target="https://www.flyeralarm.com/de/i/kontakt" TargetMode="External" Id="rId2"/><Relationship Type="http://schemas.openxmlformats.org/officeDocument/2006/relationships/hyperlink" Target="https://sowadruk.pl/en/contact" TargetMode="External" Id="rId3"/><Relationship Type="http://schemas.openxmlformats.org/officeDocument/2006/relationships/hyperlink" Target="https://druck.pl/kontaktde/" TargetMode="External" Id="rId4"/><Relationship Type="http://schemas.openxmlformats.org/officeDocument/2006/relationships/hyperlink" Target="https://www.printhub.eu/books-printing-on-demand" TargetMode="External" Id="rId5"/><Relationship Type="http://schemas.openxmlformats.org/officeDocument/2006/relationships/hyperlink" Target="https://www.graspo.com/en/contact-us" TargetMode="External" Id="rId6"/></Relationships>
</file>

<file path=xl/worksheets/_rels/sheet14.xml.rels><Relationships xmlns="http://schemas.openxmlformats.org/package/2006/relationships"><Relationship Type="http://schemas.openxmlformats.org/officeDocument/2006/relationships/hyperlink" Target="https://www.gmund.com/de_at/gmund-fullservice/" TargetMode="External" Id="rId1"/><Relationship Type="http://schemas.openxmlformats.org/officeDocument/2006/relationships/hyperlink" Target="https://www.gmund.com/shop/de_at/780-digi50.html" TargetMode="External" Id="rId2"/></Relationships>
</file>

<file path=xl/worksheets/sheet1.xml><?xml version="1.0" encoding="utf-8"?>
<worksheet xmlns="http://schemas.openxmlformats.org/spreadsheetml/2006/main">
  <sheetPr>
    <outlinePr summaryBelow="1" summaryRight="1"/>
    <pageSetUpPr/>
  </sheetPr>
  <dimension ref="B2:O59"/>
  <sheetViews>
    <sheetView topLeftCell="A4" workbookViewId="0">
      <selection activeCell="B15" sqref="B15"/>
    </sheetView>
  </sheetViews>
  <sheetFormatPr baseColWidth="8" defaultColWidth="8.6640625" defaultRowHeight="14.4"/>
  <cols>
    <col width="38.109375" bestFit="1" customWidth="1" style="180" min="2" max="2"/>
    <col width="15.109375" bestFit="1" customWidth="1" style="180" min="3" max="3"/>
    <col width="15" customWidth="1" style="180" min="4" max="4"/>
    <col width="14.109375" bestFit="1" customWidth="1" style="180" min="5" max="5"/>
    <col width="13.109375" bestFit="1" customWidth="1" style="180" min="6" max="6"/>
    <col width="13.6640625" customWidth="1" style="180" min="7" max="7"/>
    <col width="11" customWidth="1" style="180" min="8" max="10"/>
    <col width="11.6640625" customWidth="1" style="180" min="11" max="11"/>
    <col width="16.6640625" customWidth="1" style="180" min="12" max="12"/>
    <col width="17.33203125" customWidth="1" style="180" min="13" max="13"/>
    <col width="13.109375" bestFit="1" customWidth="1" style="180" min="15" max="15"/>
  </cols>
  <sheetData>
    <row r="2">
      <c r="B2" t="inlineStr">
        <is>
          <t>Total investment</t>
        </is>
      </c>
      <c r="C2" t="inlineStr">
        <is>
          <t>USD</t>
        </is>
      </c>
      <c r="D2" s="1" t="n">
        <v>200000</v>
      </c>
      <c r="E2" s="184" t="n"/>
    </row>
    <row r="3">
      <c r="B3" t="inlineStr">
        <is>
          <t>app cost</t>
        </is>
      </c>
      <c r="C3" t="inlineStr">
        <is>
          <t>USD</t>
        </is>
      </c>
      <c r="D3" s="2">
        <f>D2*0.3</f>
        <v/>
      </c>
      <c r="G3" s="10">
        <f>100*10^6/G6</f>
        <v/>
      </c>
    </row>
    <row r="4">
      <c r="D4" s="185" t="n"/>
    </row>
    <row r="5">
      <c r="B5" s="8" t="inlineStr">
        <is>
          <t>Metric</t>
        </is>
      </c>
      <c r="C5" s="8" t="inlineStr">
        <is>
          <t>Unit</t>
        </is>
      </c>
      <c r="D5" s="8" t="n">
        <v>2016</v>
      </c>
      <c r="E5" s="8" t="n">
        <v>2017</v>
      </c>
      <c r="F5" s="8" t="n">
        <v>2018</v>
      </c>
      <c r="G5" s="8" t="n">
        <v>2019</v>
      </c>
      <c r="H5" s="8" t="n">
        <v>2020</v>
      </c>
      <c r="I5" s="8" t="n">
        <v>2021</v>
      </c>
      <c r="J5" s="8" t="n">
        <v>2022</v>
      </c>
      <c r="K5" s="8" t="n">
        <v>2023</v>
      </c>
      <c r="L5" s="8" t="inlineStr">
        <is>
          <t>Total 2016-2019</t>
        </is>
      </c>
      <c r="M5" s="8" t="inlineStr">
        <is>
          <t>Comments</t>
        </is>
      </c>
    </row>
    <row r="6">
      <c r="B6" t="inlineStr">
        <is>
          <t>Exchange rate</t>
        </is>
      </c>
      <c r="C6" t="inlineStr">
        <is>
          <t>RUB:USD</t>
        </is>
      </c>
      <c r="D6" s="1" t="n">
        <v>67</v>
      </c>
      <c r="E6" s="1" t="n">
        <v>58</v>
      </c>
      <c r="F6" s="1" t="n">
        <v>63</v>
      </c>
      <c r="G6" s="1" t="n">
        <v>64.7</v>
      </c>
      <c r="H6" s="1" t="n">
        <v>72.17</v>
      </c>
      <c r="I6" s="1" t="n">
        <v>73.59999999999999</v>
      </c>
      <c r="J6" s="1" t="n">
        <v>68.5</v>
      </c>
      <c r="K6" s="1" t="n">
        <v>85.3</v>
      </c>
    </row>
    <row r="7">
      <c r="B7" t="inlineStr">
        <is>
          <t>Revenue</t>
        </is>
      </c>
      <c r="C7" t="inlineStr">
        <is>
          <t>RUB</t>
        </is>
      </c>
      <c r="D7" s="1" t="n"/>
      <c r="E7" s="1" t="n"/>
      <c r="F7" s="1" t="n"/>
      <c r="G7" s="1" t="n"/>
      <c r="H7" s="1" t="n"/>
      <c r="I7" s="1" t="n"/>
      <c r="J7" s="1" t="n"/>
      <c r="K7" s="1" t="n"/>
    </row>
    <row r="8">
      <c r="B8" t="inlineStr">
        <is>
          <t>Revenue</t>
        </is>
      </c>
      <c r="C8" t="inlineStr">
        <is>
          <t>USD</t>
        </is>
      </c>
      <c r="D8" s="1">
        <f>7.34*10^6/D6</f>
        <v/>
      </c>
      <c r="E8" s="1">
        <f>28.9*10^6/E6</f>
        <v/>
      </c>
      <c r="F8" s="1">
        <f>52.2*10^6/F6</f>
        <v/>
      </c>
      <c r="G8" s="1">
        <f>58.14*10^6/G6</f>
        <v/>
      </c>
      <c r="H8" s="1">
        <f>89.26*10^6/H6</f>
        <v/>
      </c>
      <c r="I8" s="1">
        <f>125.71*10^6/I6</f>
        <v/>
      </c>
      <c r="J8" s="1">
        <f>176.13*10^6/J6</f>
        <v/>
      </c>
      <c r="K8" s="1">
        <f>287.78*10^6/K6</f>
        <v/>
      </c>
      <c r="L8" s="4">
        <f>_xlfn.RRI($G$5-$D$5,D8,G8)</f>
        <v/>
      </c>
    </row>
    <row r="9">
      <c r="B9" t="inlineStr">
        <is>
          <t>Average check</t>
        </is>
      </c>
      <c r="C9" t="inlineStr">
        <is>
          <t>USD</t>
        </is>
      </c>
      <c r="D9" s="1">
        <f>1500/D6</f>
        <v/>
      </c>
      <c r="E9" s="1">
        <f>E18/E6</f>
        <v/>
      </c>
      <c r="F9" s="1" t="n">
        <v>44</v>
      </c>
      <c r="G9" s="1">
        <f>2900/G6</f>
        <v/>
      </c>
      <c r="H9" s="1" t="n"/>
      <c r="I9" s="1" t="n"/>
      <c r="J9" s="1" t="n"/>
      <c r="K9" s="1" t="n"/>
      <c r="O9" s="185" t="n"/>
    </row>
    <row r="10">
      <c r="B10" t="inlineStr">
        <is>
          <t>Number of orders</t>
        </is>
      </c>
      <c r="C10" t="inlineStr">
        <is>
          <t>pcs/year</t>
        </is>
      </c>
      <c r="D10" s="1">
        <f>D8/D9</f>
        <v/>
      </c>
      <c r="E10" s="1">
        <f>E8/E9</f>
        <v/>
      </c>
      <c r="F10" s="1">
        <f>F8/F9</f>
        <v/>
      </c>
      <c r="G10" s="1">
        <f>G8/G9</f>
        <v/>
      </c>
      <c r="H10" s="1" t="n"/>
      <c r="I10" s="1" t="n"/>
      <c r="J10" s="1" t="n"/>
      <c r="K10" s="1" t="n"/>
      <c r="L10">
        <f>SUM(D10:G10)</f>
        <v/>
      </c>
      <c r="N10" t="n">
        <v>72000</v>
      </c>
      <c r="O10" s="4">
        <f>L10/N10</f>
        <v/>
      </c>
    </row>
    <row r="11">
      <c r="B11" t="inlineStr">
        <is>
          <t>Number of orders</t>
        </is>
      </c>
      <c r="C11" t="inlineStr">
        <is>
          <t>pcs/day</t>
        </is>
      </c>
      <c r="D11" s="185">
        <f>D10/365</f>
        <v/>
      </c>
      <c r="E11" s="185">
        <f>E10/365</f>
        <v/>
      </c>
      <c r="F11" s="185">
        <f>F10/365</f>
        <v/>
      </c>
      <c r="G11" s="185">
        <f>G10/365</f>
        <v/>
      </c>
      <c r="H11" s="185" t="n"/>
      <c r="I11" s="185" t="n"/>
      <c r="J11" s="185" t="n"/>
      <c r="K11" s="185" t="n"/>
    </row>
    <row r="13">
      <c r="B13" t="inlineStr">
        <is>
          <t>Profit</t>
        </is>
      </c>
      <c r="C13" t="inlineStr">
        <is>
          <t>mnRUB</t>
        </is>
      </c>
      <c r="D13" t="n">
        <v>-4.25</v>
      </c>
      <c r="E13" t="n">
        <v>-1.81</v>
      </c>
      <c r="F13" t="n">
        <v>4.95</v>
      </c>
      <c r="G13" t="n">
        <v>4.15</v>
      </c>
      <c r="H13" t="n">
        <v>4.22</v>
      </c>
      <c r="I13" t="n">
        <v>4.45</v>
      </c>
      <c r="J13" t="n">
        <v>6.45</v>
      </c>
      <c r="K13" t="n">
        <v>24.73</v>
      </c>
      <c r="M13" s="6" t="inlineStr">
        <is>
          <t>https://companies.rbc.ru/id/1157746985285-ooo-periodika-press/</t>
        </is>
      </c>
    </row>
    <row r="14">
      <c r="B14" t="inlineStr">
        <is>
          <t>Profit</t>
        </is>
      </c>
      <c r="C14" t="inlineStr">
        <is>
          <t>USD</t>
        </is>
      </c>
      <c r="D14" s="185">
        <f>D13/D6*10^6</f>
        <v/>
      </c>
      <c r="E14" s="185">
        <f>E13/E6*10^6</f>
        <v/>
      </c>
      <c r="F14" s="185">
        <f>F13/F6*10^6</f>
        <v/>
      </c>
      <c r="G14" s="185">
        <f>G13/G6*10^6</f>
        <v/>
      </c>
      <c r="H14" s="185">
        <f>H13/H6*10^6</f>
        <v/>
      </c>
      <c r="I14" s="185">
        <f>I13/I6*10^6</f>
        <v/>
      </c>
      <c r="J14" s="185">
        <f>J13/J6*10^6</f>
        <v/>
      </c>
      <c r="K14" s="185">
        <f>K13/K6*10^6</f>
        <v/>
      </c>
      <c r="L14" s="4" t="n"/>
    </row>
    <row r="15">
      <c r="D15" s="9">
        <f>D14/D8</f>
        <v/>
      </c>
      <c r="E15" s="9">
        <f>E14/E8</f>
        <v/>
      </c>
      <c r="F15" s="9">
        <f>F14/F8</f>
        <v/>
      </c>
      <c r="G15" s="9">
        <f>G14/G8</f>
        <v/>
      </c>
      <c r="H15" s="9">
        <f>H14/H8</f>
        <v/>
      </c>
      <c r="I15" s="9">
        <f>I14/I8</f>
        <v/>
      </c>
      <c r="J15" s="9">
        <f>J14/J8</f>
        <v/>
      </c>
      <c r="K15" s="9">
        <f>K14/K8</f>
        <v/>
      </c>
      <c r="L15" s="4" t="n"/>
    </row>
    <row r="16">
      <c r="D16" s="9" t="n"/>
      <c r="E16" s="9" t="n"/>
      <c r="F16" s="9" t="n"/>
      <c r="G16" s="9" t="n"/>
      <c r="H16" s="9" t="n"/>
      <c r="I16" s="9" t="n"/>
      <c r="J16" s="9" t="n"/>
      <c r="K16" s="9" t="n"/>
      <c r="L16" s="4" t="n"/>
    </row>
    <row r="17">
      <c r="B17" t="inlineStr">
        <is>
          <t>Photobook hard cloth binding  20x20, 40 pages</t>
        </is>
      </c>
      <c r="C17" t="inlineStr">
        <is>
          <t>RUB</t>
        </is>
      </c>
      <c r="D17" t="inlineStr">
        <is>
          <t>n.a</t>
        </is>
      </c>
      <c r="E17" t="n">
        <v>2990</v>
      </c>
      <c r="F17">
        <f>E17</f>
        <v/>
      </c>
      <c r="G17">
        <f>F17</f>
        <v/>
      </c>
      <c r="H17">
        <f>G17</f>
        <v/>
      </c>
      <c r="L17" s="4" t="n"/>
    </row>
    <row r="18">
      <c r="B18" t="inlineStr">
        <is>
          <t>Photobook hard photo cover,  20x20, 40 pages</t>
        </is>
      </c>
      <c r="D18" t="inlineStr">
        <is>
          <t>n.a</t>
        </is>
      </c>
      <c r="E18" t="n">
        <v>2490</v>
      </c>
      <c r="F18">
        <f>E18</f>
        <v/>
      </c>
      <c r="G18">
        <f>F18</f>
        <v/>
      </c>
      <c r="H18">
        <f>G18</f>
        <v/>
      </c>
      <c r="L18" s="4" t="n"/>
    </row>
    <row r="19">
      <c r="B19" t="inlineStr">
        <is>
          <t>Photobook soft cover,  14x14, 40 pages</t>
        </is>
      </c>
      <c r="D19" t="n">
        <v>1490</v>
      </c>
      <c r="E19" t="n">
        <v>1490</v>
      </c>
      <c r="F19" t="n">
        <v>1790</v>
      </c>
      <c r="G19">
        <f>F19</f>
        <v/>
      </c>
      <c r="H19">
        <f>G19</f>
        <v/>
      </c>
      <c r="L19" s="4" t="n"/>
    </row>
    <row r="20">
      <c r="B20" t="inlineStr">
        <is>
          <t>Zinbook (travel/thematic mini-book), 24pages</t>
        </is>
      </c>
      <c r="G20" t="n">
        <v>1490</v>
      </c>
      <c r="H20">
        <f>G20</f>
        <v/>
      </c>
      <c r="L20" s="4" t="n"/>
    </row>
    <row r="21">
      <c r="B21" t="inlineStr">
        <is>
          <t>Photobook hard cloth binding  with cover photo, 20x20, 80 pages</t>
        </is>
      </c>
      <c r="G21" t="n">
        <v>4490</v>
      </c>
      <c r="H21">
        <f>G21</f>
        <v/>
      </c>
      <c r="L21" s="11">
        <f>200*12</f>
        <v/>
      </c>
    </row>
    <row r="22">
      <c r="B22" t="inlineStr">
        <is>
          <t>Photobook hard photo cover,  20x20, 80 pages</t>
        </is>
      </c>
      <c r="G22" t="n">
        <v>3990</v>
      </c>
      <c r="H22">
        <f>G22</f>
        <v/>
      </c>
      <c r="L22" s="4" t="n"/>
    </row>
    <row r="23">
      <c r="B23" t="inlineStr">
        <is>
          <t>New line of business: Kids</t>
        </is>
      </c>
      <c r="G23" t="inlineStr">
        <is>
          <t>xx</t>
        </is>
      </c>
      <c r="L23" s="4" t="n"/>
    </row>
    <row r="24">
      <c r="B24" t="inlineStr">
        <is>
          <t>Postcards 10x15, 24pack</t>
        </is>
      </c>
      <c r="E24" t="n">
        <v>990</v>
      </c>
      <c r="H24" t="n">
        <v>1290</v>
      </c>
      <c r="L24" s="4" t="n"/>
    </row>
    <row r="25">
      <c r="L25" s="4" t="n"/>
    </row>
    <row r="26">
      <c r="B26" t="inlineStr">
        <is>
          <t>Headcount (full time)</t>
        </is>
      </c>
      <c r="G26" t="n">
        <v>3</v>
      </c>
      <c r="L26" s="4" t="n"/>
    </row>
    <row r="27">
      <c r="L27" s="4" t="n"/>
    </row>
    <row r="28">
      <c r="B28" t="inlineStr">
        <is>
          <t>Digital marketing</t>
        </is>
      </c>
      <c r="C28" t="inlineStr">
        <is>
          <t>% of revenue</t>
        </is>
      </c>
      <c r="D28" s="4" t="n">
        <v>0.1</v>
      </c>
      <c r="E28" s="4">
        <f>D28</f>
        <v/>
      </c>
      <c r="F28" s="4">
        <f>E28</f>
        <v/>
      </c>
      <c r="G28" s="4">
        <f>F28</f>
        <v/>
      </c>
      <c r="H28" s="4" t="n"/>
      <c r="I28" s="4" t="n"/>
      <c r="J28" s="4" t="n"/>
      <c r="K28" s="4" t="n"/>
    </row>
    <row r="29">
      <c r="B29" t="inlineStr">
        <is>
          <t>Influencer marketing</t>
        </is>
      </c>
      <c r="C29" t="inlineStr">
        <is>
          <t>% of revenue</t>
        </is>
      </c>
      <c r="D29" s="4" t="n">
        <v>0.05</v>
      </c>
      <c r="E29" s="4" t="n">
        <v>0.05</v>
      </c>
      <c r="F29" s="4" t="n">
        <v>0.05</v>
      </c>
      <c r="G29" s="4" t="n">
        <v>0.05</v>
      </c>
      <c r="H29" s="4" t="n"/>
      <c r="I29" s="4" t="n"/>
      <c r="J29" s="4" t="n"/>
      <c r="K29" s="4" t="n"/>
    </row>
    <row r="31">
      <c r="B31" t="inlineStr">
        <is>
          <t>Digital marketing</t>
        </is>
      </c>
    </row>
    <row r="32">
      <c r="B32" t="inlineStr">
        <is>
          <t>Influencer marketing</t>
        </is>
      </c>
    </row>
    <row r="34">
      <c r="C34" t="inlineStr">
        <is>
          <t>"automated pre-print editing"</t>
        </is>
      </c>
    </row>
    <row r="35">
      <c r="C35" t="inlineStr">
        <is>
          <t>SLA: priting period 2 days + 1day delivery</t>
        </is>
      </c>
    </row>
    <row r="36">
      <c r="C36" t="inlineStr">
        <is>
          <t>over 4 years changed 4 typographies and 2 delivery services</t>
        </is>
      </c>
    </row>
    <row r="37">
      <c r="C37" t="inlineStr">
        <is>
          <t xml:space="preserve">own typography is not the option: very expensive </t>
        </is>
      </c>
    </row>
    <row r="38">
      <c r="C38" t="inlineStr">
        <is>
          <t>focus is full automation: clients create albums and order automatically goes to server. Every morning from there orders go to print. On evening company gathers ready products to sorting center and then send them to all customers</t>
        </is>
      </c>
    </row>
    <row r="39">
      <c r="C39" t="inlineStr">
        <is>
          <t>Initially targeted hipsters but then broadened TA: many older people preferred tactil, sustaintalbe things over digital</t>
        </is>
      </c>
    </row>
    <row r="40">
      <c r="C40" t="inlineStr">
        <is>
          <t>Participated and showed products at events like Picnic Afisha (music festival)</t>
        </is>
      </c>
    </row>
    <row r="41">
      <c r="C41" t="inlineStr">
        <is>
          <t>offset type of printing vs photopaper?</t>
        </is>
      </c>
    </row>
    <row r="42">
      <c r="C42" t="inlineStr">
        <is>
          <t>no SEO optimization invesments *if someone searches "buy photobook" - probably not our target audience</t>
        </is>
      </c>
    </row>
    <row r="43">
      <c r="C43" t="inlineStr">
        <is>
          <t>Marketing: insta, bloggers, target, content marketing -- outsource to agencies</t>
        </is>
      </c>
    </row>
    <row r="44">
      <c r="C44" t="inlineStr">
        <is>
          <t>During 1st year: gave beta access to app to photo bloggers, photographers, photo communities -- many tested, wrote their reviews -- generated traffic</t>
        </is>
      </c>
    </row>
    <row r="45">
      <c r="C45" t="inlineStr">
        <is>
          <t>no discounts.only once a year 1+1</t>
        </is>
      </c>
    </row>
    <row r="46">
      <c r="C46" t="inlineStr">
        <is>
          <t>First launch only 3 products: small book, photo-postcards 20pack, collection of photos ; but many became irrelevant like postcards and printing photos</t>
        </is>
      </c>
    </row>
    <row r="47">
      <c r="C47" t="inlineStr">
        <is>
          <t>Main product: photobooks</t>
        </is>
      </c>
    </row>
    <row r="48">
      <c r="C48" t="inlineStr">
        <is>
          <t>Special books, e.g for child memories occurred based on client's demands.</t>
        </is>
      </c>
    </row>
    <row r="49">
      <c r="C49" t="inlineStr">
        <is>
          <t>1-2% defect rate is normal in printing business. Sometimes 5% even</t>
        </is>
      </c>
    </row>
    <row r="50">
      <c r="C50" t="inlineStr">
        <is>
          <t>92% of clients are women. We define them as consiousness gedonsists - they value good flowers, have taste, like to buy things like aroma candels etc.</t>
        </is>
      </c>
    </row>
    <row r="53">
      <c r="C53" s="7" t="inlineStr">
        <is>
          <t>errors:</t>
        </is>
      </c>
    </row>
    <row r="54">
      <c r="C54" t="inlineStr">
        <is>
          <t>1. Started with mobile app - very long and expensive</t>
        </is>
      </c>
    </row>
    <row r="55">
      <c r="C55" t="inlineStr">
        <is>
          <t>2. Don't try to create ideal product set from the beginning</t>
        </is>
      </c>
    </row>
    <row r="56">
      <c r="C56" t="inlineStr">
        <is>
          <t>3. was a cheapskate - realized later that better to pay to consultant or outsource some things than learn all by myself</t>
        </is>
      </c>
    </row>
    <row r="57">
      <c r="C57" t="inlineStr">
        <is>
          <t>4. didn't ask for a help</t>
        </is>
      </c>
    </row>
    <row r="58">
      <c r="C58" t="inlineStr">
        <is>
          <t>5. didn't have many backup plans (e.g. 10 different types of paper as alternative to main option)</t>
        </is>
      </c>
    </row>
    <row r="59">
      <c r="C59" t="inlineStr">
        <is>
          <t>6. didn't compare suppliers prices</t>
        </is>
      </c>
    </row>
  </sheetData>
  <hyperlinks>
    <hyperlink xmlns:r="http://schemas.openxmlformats.org/officeDocument/2006/relationships" ref="M13" r:id="rId1"/>
  </hyperlinks>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2:Y100"/>
  <sheetViews>
    <sheetView topLeftCell="A59" zoomScale="59" zoomScaleNormal="59" workbookViewId="0">
      <selection activeCell="M85" sqref="M85"/>
    </sheetView>
  </sheetViews>
  <sheetFormatPr baseColWidth="8" defaultColWidth="8.6640625" defaultRowHeight="14.4"/>
  <cols>
    <col width="8.6640625" customWidth="1" style="12" min="1" max="1"/>
    <col width="4.33203125" customWidth="1" style="12" min="2" max="2"/>
    <col width="1.6640625" customWidth="1" style="12" min="3" max="3"/>
    <col width="36.109375" customWidth="1" style="12" min="4" max="4"/>
    <col width="8.6640625" customWidth="1" style="12" min="5" max="12"/>
    <col width="18.44140625" customWidth="1" style="12" min="13" max="13"/>
    <col width="16.33203125" customWidth="1" style="12" min="14" max="17"/>
    <col width="30" customWidth="1" style="14" min="18" max="18"/>
    <col width="8.6640625" customWidth="1" style="12" min="16383" max="16384"/>
  </cols>
  <sheetData>
    <row r="2">
      <c r="A2" s="39" t="n"/>
      <c r="B2" s="44" t="n"/>
      <c r="C2" s="41" t="n"/>
      <c r="D2" s="40" t="inlineStr">
        <is>
          <t>hard input</t>
        </is>
      </c>
      <c r="E2" s="42" t="n"/>
      <c r="F2" s="42" t="n"/>
      <c r="G2" s="42" t="n"/>
      <c r="H2" s="42" t="n"/>
      <c r="I2" s="42" t="n"/>
      <c r="J2" s="42" t="n"/>
      <c r="K2" s="42" t="n"/>
      <c r="L2" s="42" t="n"/>
      <c r="M2" s="42" t="n"/>
      <c r="N2" s="42" t="n"/>
      <c r="O2" s="42" t="n"/>
      <c r="P2" s="42" t="n"/>
      <c r="Q2" s="42" t="n"/>
      <c r="R2" s="42" t="n"/>
    </row>
    <row r="3">
      <c r="A3" s="39" t="n"/>
      <c r="B3" s="44" t="n"/>
      <c r="C3" s="41" t="n"/>
      <c r="D3" s="72" t="inlineStr">
        <is>
          <t>link to Assumptions tab</t>
        </is>
      </c>
      <c r="E3" s="42" t="n"/>
      <c r="F3" s="42" t="n"/>
      <c r="G3" s="42" t="n"/>
      <c r="H3" s="42" t="n"/>
      <c r="I3" s="42" t="n"/>
      <c r="J3" s="42" t="n"/>
      <c r="K3" s="42" t="n"/>
      <c r="L3" s="42" t="n"/>
      <c r="M3" s="42" t="n"/>
      <c r="N3" s="42" t="n"/>
      <c r="O3" s="42" t="n"/>
      <c r="P3" s="42" t="n"/>
      <c r="Q3" s="42" t="n"/>
      <c r="R3" s="42" t="n"/>
    </row>
    <row r="4" ht="15.6" customHeight="1" s="180">
      <c r="A4" s="39" t="n"/>
      <c r="B4" s="44" t="n"/>
      <c r="C4" s="41" t="n"/>
      <c r="D4" s="47" t="inlineStr">
        <is>
          <t>calc</t>
        </is>
      </c>
      <c r="E4" s="42" t="n"/>
      <c r="F4" s="42" t="n"/>
      <c r="G4" s="42" t="n"/>
      <c r="H4" s="42" t="n"/>
      <c r="I4" s="42" t="n"/>
      <c r="J4" s="42" t="n"/>
      <c r="K4" s="42" t="n"/>
      <c r="L4" s="42" t="n"/>
      <c r="M4" s="42" t="n"/>
      <c r="N4" s="42" t="n"/>
      <c r="O4" s="42" t="n"/>
      <c r="P4" s="42" t="n"/>
      <c r="Q4" s="42" t="n"/>
      <c r="R4" s="42" t="n"/>
    </row>
    <row r="5" ht="15.6" customHeight="1" s="180">
      <c r="A5" s="39" t="n"/>
      <c r="B5" s="44" t="n"/>
      <c r="C5" s="41" t="n"/>
      <c r="D5" s="48" t="inlineStr">
        <is>
          <t>not used for calcs</t>
        </is>
      </c>
      <c r="E5" s="42" t="n"/>
      <c r="F5" s="42" t="n"/>
      <c r="G5" s="42" t="n"/>
      <c r="H5" s="42" t="n"/>
      <c r="I5" s="42" t="n"/>
      <c r="J5" s="42" t="n"/>
      <c r="K5" s="42" t="n"/>
      <c r="L5" s="42" t="n"/>
      <c r="M5" s="42" t="n"/>
      <c r="N5" s="42" t="n"/>
      <c r="O5" s="42" t="n"/>
      <c r="P5" s="42" t="n"/>
      <c r="Q5" s="42" t="n"/>
      <c r="R5" s="42" t="n"/>
    </row>
    <row r="9">
      <c r="B9" s="8" t="inlineStr">
        <is>
          <t>#</t>
        </is>
      </c>
      <c r="D9" s="8" t="inlineStr">
        <is>
          <t>Metric</t>
        </is>
      </c>
      <c r="E9" s="8" t="inlineStr">
        <is>
          <t>Unit</t>
        </is>
      </c>
      <c r="F9" s="8" t="n"/>
      <c r="G9" s="8" t="inlineStr">
        <is>
          <t>3Q 2026</t>
        </is>
      </c>
      <c r="H9" s="8" t="inlineStr">
        <is>
          <t>4Q 2026</t>
        </is>
      </c>
      <c r="I9" s="8" t="inlineStr">
        <is>
          <t>1Q 2027</t>
        </is>
      </c>
      <c r="J9" s="8" t="inlineStr">
        <is>
          <t>2Q 2027</t>
        </is>
      </c>
      <c r="K9" s="8" t="inlineStr">
        <is>
          <t>3Q 2027</t>
        </is>
      </c>
      <c r="L9" s="8" t="inlineStr">
        <is>
          <t>4Q2027</t>
        </is>
      </c>
      <c r="M9" s="8" t="n">
        <v>2026</v>
      </c>
      <c r="N9" s="8">
        <f>M9+1</f>
        <v/>
      </c>
      <c r="O9" s="8">
        <f>N9+1</f>
        <v/>
      </c>
      <c r="P9" s="8" t="n">
        <v>2029</v>
      </c>
      <c r="Q9" s="8" t="n"/>
      <c r="R9" s="13" t="inlineStr">
        <is>
          <t>Comments</t>
        </is>
      </c>
    </row>
    <row r="11">
      <c r="B11" s="15" t="n">
        <v>1</v>
      </c>
      <c r="D11" s="16" t="inlineStr">
        <is>
          <t>Revenue</t>
        </is>
      </c>
      <c r="M11" s="186">
        <f>M16*M18+M20*M17</f>
        <v/>
      </c>
      <c r="N11" s="186">
        <f>N16*N18+N20*N17</f>
        <v/>
      </c>
      <c r="O11" s="186">
        <f>O16*O18+O20*O17</f>
        <v/>
      </c>
      <c r="P11" s="186">
        <f>P16*P18+P20*P17</f>
        <v/>
      </c>
      <c r="Q11" s="62" t="n"/>
    </row>
    <row r="12">
      <c r="M12" s="63" t="n"/>
      <c r="N12" s="63" t="n"/>
      <c r="O12" s="63" t="n"/>
      <c r="P12" s="63" t="n"/>
      <c r="Q12" s="63" t="n"/>
    </row>
    <row r="13">
      <c r="D13" s="12" t="inlineStr">
        <is>
          <t>Number of orders per month</t>
        </is>
      </c>
      <c r="G13" s="12" t="n">
        <v>0</v>
      </c>
      <c r="H13" s="12" t="n">
        <v>50</v>
      </c>
      <c r="I13" s="12" t="n">
        <v>75</v>
      </c>
      <c r="J13" s="12" t="n">
        <v>75</v>
      </c>
      <c r="K13" s="12" t="n">
        <v>100</v>
      </c>
      <c r="L13" s="12" t="n">
        <v>100</v>
      </c>
      <c r="M13" s="70" t="n">
        <v>100</v>
      </c>
      <c r="N13" s="70" t="n">
        <v>300</v>
      </c>
      <c r="O13" s="70" t="n">
        <v>500</v>
      </c>
      <c r="P13" s="70" t="n">
        <v>700</v>
      </c>
      <c r="Q13" s="64" t="n"/>
      <c r="R13" s="14" t="inlineStr">
        <is>
          <t>Directional, entering other markets in EU</t>
        </is>
      </c>
    </row>
    <row r="14">
      <c r="D14" s="12" t="inlineStr">
        <is>
          <t>Number of orders per year</t>
        </is>
      </c>
      <c r="M14" s="71">
        <f>M13*12</f>
        <v/>
      </c>
      <c r="N14" s="71">
        <f>N13*12</f>
        <v/>
      </c>
      <c r="O14" s="71">
        <f>O13*12</f>
        <v/>
      </c>
      <c r="P14" s="71">
        <f>P13*12</f>
        <v/>
      </c>
      <c r="Q14" s="65" t="n"/>
    </row>
    <row r="15">
      <c r="M15" s="71" t="n"/>
      <c r="N15" s="71" t="n"/>
      <c r="O15" s="71" t="n"/>
      <c r="P15" s="71" t="n"/>
      <c r="Q15" s="65" t="n"/>
    </row>
    <row r="16">
      <c r="D16" s="18" t="inlineStr">
        <is>
          <t>B2C</t>
        </is>
      </c>
      <c r="E16" s="12" t="inlineStr">
        <is>
          <t># orders</t>
        </is>
      </c>
      <c r="M16" s="71">
        <f>M14-M17</f>
        <v/>
      </c>
      <c r="N16" s="71">
        <f>N14-N17</f>
        <v/>
      </c>
      <c r="O16" s="71">
        <f>O14-O17</f>
        <v/>
      </c>
      <c r="P16" s="71">
        <f>P14-P17</f>
        <v/>
      </c>
      <c r="Q16" s="65" t="n"/>
    </row>
    <row r="17">
      <c r="D17" s="18" t="inlineStr">
        <is>
          <t>B2B</t>
        </is>
      </c>
      <c r="E17" s="12" t="inlineStr">
        <is>
          <t># orders</t>
        </is>
      </c>
      <c r="M17" s="103">
        <f>M14*Assumptions!F$84</f>
        <v/>
      </c>
      <c r="N17" s="86">
        <f>N14*Assumptions!G$84</f>
        <v/>
      </c>
      <c r="O17" s="86">
        <f>O14*Assumptions!H$84</f>
        <v/>
      </c>
      <c r="P17" s="86">
        <f>P14*Assumptions!I$84</f>
        <v/>
      </c>
      <c r="Q17" s="65" t="n"/>
    </row>
    <row r="18" ht="15" customHeight="1" s="180">
      <c r="D18" s="12" t="inlineStr">
        <is>
          <t>Average check B2C (excl VAT)</t>
        </is>
      </c>
      <c r="E18" s="12" t="inlineStr">
        <is>
          <t>EUR</t>
        </is>
      </c>
      <c r="M18" s="187" t="n">
        <v>50</v>
      </c>
      <c r="N18" s="187">
        <f>M18*(1+Assumptions!$F$11)</f>
        <v/>
      </c>
      <c r="O18" s="187">
        <f>N18*(1+Assumptions!$F$11)</f>
        <v/>
      </c>
      <c r="P18" s="187">
        <f>O18*(1+Assumptions!$F$11)</f>
        <v/>
      </c>
      <c r="Q18" s="63" t="n"/>
      <c r="R18" s="14" t="inlineStr">
        <is>
          <t>Premium to competition</t>
        </is>
      </c>
    </row>
    <row r="19">
      <c r="D19" s="12" t="inlineStr">
        <is>
          <t>Average check B2C (with VAT)</t>
        </is>
      </c>
      <c r="E19" s="12" t="inlineStr">
        <is>
          <t>EUR</t>
        </is>
      </c>
      <c r="M19" s="188">
        <f>M18*(1+Assumptions!$F$12)</f>
        <v/>
      </c>
      <c r="N19" s="189">
        <f>N18*(1+Assumptions!$F$12)</f>
        <v/>
      </c>
      <c r="O19" s="189">
        <f>O18*(1+Assumptions!$F$12)</f>
        <v/>
      </c>
      <c r="P19" s="189">
        <f>P18*(1+Assumptions!$F$12)</f>
        <v/>
      </c>
      <c r="Q19" s="63" t="n"/>
    </row>
    <row r="20">
      <c r="D20" s="12" t="inlineStr">
        <is>
          <t>Average check B2B (excl VAT)</t>
        </is>
      </c>
      <c r="E20" s="12" t="inlineStr">
        <is>
          <t>EUR</t>
        </is>
      </c>
      <c r="M20" s="71">
        <f>M18*(1+Assumptions!F$83)</f>
        <v/>
      </c>
      <c r="N20" s="71">
        <f>N18*(1+Assumptions!G$83)</f>
        <v/>
      </c>
      <c r="O20" s="71">
        <f>O18*(1+Assumptions!H$83)</f>
        <v/>
      </c>
      <c r="P20" s="71">
        <f>P18*(1+Assumptions!I$83)</f>
        <v/>
      </c>
      <c r="Q20" s="65" t="n"/>
      <c r="R20" s="14" t="inlineStr">
        <is>
          <t>assuming capability to charge more from B2B</t>
        </is>
      </c>
    </row>
    <row r="21">
      <c r="D21" s="12" t="inlineStr">
        <is>
          <t>Average check B2B (with VAT)</t>
        </is>
      </c>
      <c r="E21" s="12" t="inlineStr">
        <is>
          <t>EUR</t>
        </is>
      </c>
      <c r="M21" s="189">
        <f>M20*(1+Assumptions!$F$12)</f>
        <v/>
      </c>
      <c r="N21" s="189">
        <f>N20*(1+Assumptions!$F$12)</f>
        <v/>
      </c>
      <c r="O21" s="189">
        <f>O20*(1+Assumptions!$F$12)</f>
        <v/>
      </c>
      <c r="P21" s="189">
        <f>P20*(1+Assumptions!$F$12)</f>
        <v/>
      </c>
      <c r="Q21" s="65" t="n"/>
    </row>
    <row r="23">
      <c r="D23" s="17" t="inlineStr">
        <is>
          <t>Sales</t>
        </is>
      </c>
      <c r="E23" s="17" t="n"/>
      <c r="F23" s="17" t="n"/>
      <c r="G23" s="17" t="n"/>
      <c r="H23" s="17" t="n"/>
      <c r="I23" s="17" t="n"/>
      <c r="J23" s="17" t="n"/>
      <c r="K23" s="17" t="n"/>
      <c r="L23" s="17" t="n"/>
      <c r="M23" s="190">
        <f>M24+M25</f>
        <v/>
      </c>
      <c r="N23" s="190">
        <f>N24+N25</f>
        <v/>
      </c>
      <c r="O23" s="190">
        <f>O24+O25</f>
        <v/>
      </c>
      <c r="P23" s="190">
        <f>P24+P25</f>
        <v/>
      </c>
      <c r="Q23" s="63" t="n"/>
    </row>
    <row r="24">
      <c r="D24" s="18" t="inlineStr">
        <is>
          <t>B2C</t>
        </is>
      </c>
      <c r="M24" s="191">
        <f>M16*M18</f>
        <v/>
      </c>
      <c r="N24" s="191">
        <f>N16*N18</f>
        <v/>
      </c>
      <c r="O24" s="191">
        <f>O16*O18</f>
        <v/>
      </c>
      <c r="P24" s="191">
        <f>P16*P18</f>
        <v/>
      </c>
      <c r="Q24" s="63" t="n"/>
    </row>
    <row r="25">
      <c r="D25" s="18" t="inlineStr">
        <is>
          <t>B2B</t>
        </is>
      </c>
      <c r="M25" s="191">
        <f>M17*M20</f>
        <v/>
      </c>
      <c r="N25" s="191">
        <f>N17*N20</f>
        <v/>
      </c>
      <c r="O25" s="191">
        <f>O17*O20</f>
        <v/>
      </c>
      <c r="P25" s="191">
        <f>P17*P20</f>
        <v/>
      </c>
      <c r="Q25" s="63" t="n"/>
    </row>
    <row r="26">
      <c r="D26" s="12" t="inlineStr">
        <is>
          <t>Defect %</t>
        </is>
      </c>
      <c r="M26" s="80" t="n">
        <v>0.02</v>
      </c>
      <c r="N26" s="80" t="n">
        <v>0.02</v>
      </c>
      <c r="O26" s="80" t="n">
        <v>0.02</v>
      </c>
      <c r="P26" s="80" t="n">
        <v>0.02</v>
      </c>
      <c r="Q26" s="80" t="n"/>
      <c r="R26" s="14" t="inlineStr">
        <is>
          <t>benchmarks</t>
        </is>
      </c>
    </row>
    <row r="27">
      <c r="D27" s="12" t="inlineStr">
        <is>
          <t>Net sales</t>
        </is>
      </c>
      <c r="M27" s="191">
        <f>M23*(1-M26)</f>
        <v/>
      </c>
      <c r="N27" s="191">
        <f>N23*(1-N26)</f>
        <v/>
      </c>
      <c r="O27" s="191">
        <f>O23*(1-O26)</f>
        <v/>
      </c>
      <c r="P27" s="191">
        <f>P23*(1-P26)</f>
        <v/>
      </c>
      <c r="Q27" s="63" t="n"/>
    </row>
    <row r="29">
      <c r="B29" s="15" t="n">
        <v>2</v>
      </c>
      <c r="D29" s="16" t="inlineStr">
        <is>
          <t>OPEX</t>
        </is>
      </c>
      <c r="M29" s="186">
        <f>M78</f>
        <v/>
      </c>
      <c r="N29" s="186">
        <f>N78</f>
        <v/>
      </c>
      <c r="O29" s="186">
        <f>O78</f>
        <v/>
      </c>
      <c r="P29" s="186">
        <f>P78</f>
        <v/>
      </c>
      <c r="Q29" s="186" t="n"/>
    </row>
    <row r="31">
      <c r="D31" s="17" t="inlineStr">
        <is>
          <t>COGS</t>
        </is>
      </c>
      <c r="M31" s="186">
        <f>SUM(M32:M37)</f>
        <v/>
      </c>
      <c r="N31" s="186">
        <f>SUM(N32:N37)</f>
        <v/>
      </c>
      <c r="O31" s="186">
        <f>SUM(O32:O37)</f>
        <v/>
      </c>
      <c r="P31" s="186">
        <f>SUM(P32:P37)</f>
        <v/>
      </c>
    </row>
    <row r="32">
      <c r="D32" s="18" t="inlineStr">
        <is>
          <t>Printing</t>
        </is>
      </c>
      <c r="E32" s="19" t="n"/>
      <c r="F32" s="19" t="n"/>
      <c r="G32" s="19" t="n"/>
      <c r="H32" s="19" t="n"/>
      <c r="I32" s="19" t="n"/>
      <c r="J32" s="19" t="n"/>
      <c r="K32" s="19" t="n"/>
      <c r="L32" s="19" t="n"/>
      <c r="M32" s="188">
        <f t="array" ref="M32">-INDEX(Assumptions!$F$37:$N$37,,MATCH(M$13,Assumptions!$F$20:$N$20,0))*M14</f>
        <v/>
      </c>
      <c r="N32" s="188">
        <f t="array" ref="N32">-INDEX(Assumptions!$F$37:$N$37,,MATCH(N$13,Assumptions!$F$20:$N$20,0))*N14</f>
        <v/>
      </c>
      <c r="O32" s="188">
        <f t="array" ref="O32">-INDEX(Assumptions!$F$37:$N$37,,MATCH(O$13,Assumptions!$F$20:$N$20,0))*O14</f>
        <v/>
      </c>
      <c r="P32" s="188">
        <f t="array" ref="P32">-INDEX(Assumptions!$F$37:$N$37,,MATCH(P$13,Assumptions!$F$20:$N$20,0))*P14</f>
        <v/>
      </c>
      <c r="Q32" s="192" t="n"/>
      <c r="R32" s="19" t="inlineStr">
        <is>
          <t>from Elanders</t>
        </is>
      </c>
    </row>
    <row r="33">
      <c r="D33" s="18" t="inlineStr">
        <is>
          <t>Packaging</t>
        </is>
      </c>
      <c r="E33" s="19" t="n"/>
      <c r="F33" s="19" t="n"/>
      <c r="G33" s="19" t="n"/>
      <c r="H33" s="19" t="n"/>
      <c r="I33" s="19" t="n"/>
      <c r="J33" s="19" t="n"/>
      <c r="K33" s="19" t="n"/>
      <c r="L33" s="19" t="n"/>
      <c r="M33" s="188">
        <f t="array" ref="M33">-INDEX(Assumptions!$F$50:$N$50,,MATCH(M$13,Assumptions!$F$20:$N$20,0))*M14</f>
        <v/>
      </c>
      <c r="N33" s="189">
        <f t="array" ref="N33">-INDEX(Assumptions!$F$50:$N$50,,MATCH(N$13,Assumptions!$F$20:$N$20,0))*N14</f>
        <v/>
      </c>
      <c r="O33" s="189">
        <f t="array" ref="O33">-INDEX(Assumptions!$F$50:$N$50,,MATCH(O$13,Assumptions!$F$20:$N$20,0))*O14</f>
        <v/>
      </c>
      <c r="P33" s="189">
        <f t="array" ref="P33">-INDEX(Assumptions!$F$50:$N$50,,MATCH(P$13,Assumptions!$F$20:$N$20,0))*P14</f>
        <v/>
      </c>
      <c r="R33" s="19" t="inlineStr">
        <is>
          <t>from Elanders</t>
        </is>
      </c>
    </row>
    <row r="34">
      <c r="D34" s="18" t="inlineStr">
        <is>
          <t>Cloud</t>
        </is>
      </c>
      <c r="E34" s="19" t="n"/>
      <c r="F34" s="19" t="n"/>
      <c r="G34" s="19" t="n"/>
      <c r="H34" s="19" t="n"/>
      <c r="I34" s="19" t="n"/>
      <c r="J34" s="19" t="n"/>
      <c r="K34" s="19" t="n"/>
      <c r="L34" s="19" t="n"/>
      <c r="M34" s="189">
        <f t="array" ref="M34">-INDEX(Assumptions!$F$51:$N$51,,MATCH(M$13,Assumptions!$F$20:$N$20,0))*M14</f>
        <v/>
      </c>
      <c r="N34" s="189">
        <f t="array" ref="N34">-INDEX(Assumptions!$F$51:$N$51,,MATCH(N$13,Assumptions!$F$20:$N$20,0))*N14</f>
        <v/>
      </c>
      <c r="O34" s="189">
        <f t="array" ref="O34">-INDEX(Assumptions!$F$51:$N$51,,MATCH(O$13,Assumptions!$F$20:$N$20,0))*O14</f>
        <v/>
      </c>
      <c r="P34" s="189">
        <f t="array" ref="P34">-INDEX(Assumptions!$F$51:$N$51,,MATCH(P$13,Assumptions!$F$20:$N$20,0))*P14</f>
        <v/>
      </c>
      <c r="R34" s="19" t="inlineStr">
        <is>
          <t>from Elanders</t>
        </is>
      </c>
    </row>
    <row r="35">
      <c r="D35" s="18" t="inlineStr">
        <is>
          <t>Delivery</t>
        </is>
      </c>
      <c r="E35" s="19" t="n"/>
      <c r="F35" s="19" t="n"/>
      <c r="G35" s="19" t="n"/>
      <c r="H35" s="19" t="n"/>
      <c r="I35" s="19" t="n"/>
      <c r="J35" s="19" t="n"/>
      <c r="K35" s="19" t="n"/>
      <c r="L35" s="19" t="n"/>
      <c r="M35" s="189">
        <f t="array" ref="M35">-INDEX(Assumptions!$F$52:$N$52,,MATCH(M$13,Assumptions!$F$20:$N$20,0))*M14</f>
        <v/>
      </c>
      <c r="N35" s="189">
        <f t="array" ref="N35">-INDEX(Assumptions!$F$52:$N$52,,MATCH(N$13,Assumptions!$F$20:$N$20,0))*N14</f>
        <v/>
      </c>
      <c r="O35" s="189">
        <f t="array" ref="O35">-INDEX(Assumptions!$F$52:$N$52,,MATCH(O$13,Assumptions!$F$20:$N$20,0))*O14</f>
        <v/>
      </c>
      <c r="P35" s="189">
        <f t="array" ref="P35">-INDEX(Assumptions!$F$52:$N$52,,MATCH(P$13,Assumptions!$F$20:$N$20,0))*P14</f>
        <v/>
      </c>
      <c r="R35" s="19" t="inlineStr">
        <is>
          <t>from Elanders</t>
        </is>
      </c>
    </row>
    <row r="36">
      <c r="D36" s="18" t="inlineStr">
        <is>
          <t>Royalty to artists</t>
        </is>
      </c>
      <c r="E36" s="19" t="n"/>
      <c r="F36" s="19" t="n"/>
      <c r="G36" s="19" t="n"/>
      <c r="H36" s="19" t="n"/>
      <c r="I36" s="19" t="n"/>
      <c r="J36" s="19" t="n"/>
      <c r="K36" s="19" t="n"/>
      <c r="L36" s="19" t="n"/>
      <c r="M36" s="189">
        <f>-Assumptions!$F$77*(M14*M18)</f>
        <v/>
      </c>
      <c r="N36" s="189">
        <f>-Assumptions!$F$77*(N14*N18)</f>
        <v/>
      </c>
      <c r="O36" s="189">
        <f>-Assumptions!$F$77*(O14*O18)</f>
        <v/>
      </c>
      <c r="P36" s="188">
        <f>-Assumptions!$F$77*(P14*P18)</f>
        <v/>
      </c>
      <c r="R36" s="14" t="inlineStr">
        <is>
          <t>assumed, cross-checked with artists</t>
        </is>
      </c>
    </row>
    <row r="37">
      <c r="D37" s="18" t="inlineStr">
        <is>
          <t>Payment processing</t>
        </is>
      </c>
      <c r="E37" s="19" t="n"/>
      <c r="F37" s="19" t="n"/>
      <c r="G37" s="19" t="n"/>
      <c r="H37" s="19" t="n"/>
      <c r="I37" s="19" t="n"/>
      <c r="J37" s="19" t="n"/>
      <c r="K37" s="19" t="n"/>
      <c r="L37" s="19" t="n"/>
      <c r="M37" s="188">
        <f>-(SUMPRODUCT(Assumptions!$F$58:$F$60,Assumptions!$F$68:$F$70)/SUM(Assumptions!$F$68:$F$70)*M11+
SUMPRODUCT(Assumptions!$F$62:$F$64,Assumptions!$F$68:$F$70)/SUM(Assumptions!$F$68:$F$70)*M14)</f>
        <v/>
      </c>
      <c r="N37" s="189">
        <f>-(SUMPRODUCT(Assumptions!$F$58:$F$60,Assumptions!$F$68:$F$70)/SUM(Assumptions!$F$68:$F$70)*N11+
SUMPRODUCT(Assumptions!$F$62:$F$64,Assumptions!$F$68:$F$70)/SUM(Assumptions!$F$68:$F$70)*N14)</f>
        <v/>
      </c>
      <c r="O37" s="189">
        <f>-(SUMPRODUCT(Assumptions!$F$58:$F$60,Assumptions!$F$68:$F$70)/SUM(Assumptions!$F$68:$F$70)*O11+
SUMPRODUCT(Assumptions!$F$62:$F$64,Assumptions!$F$68:$F$70)/SUM(Assumptions!$F$68:$F$70)*O14)</f>
        <v/>
      </c>
      <c r="P37" s="188">
        <f>-(SUMPRODUCT(Assumptions!$F$58:$F$60,Assumptions!$F$68:$F$70)/SUM(Assumptions!$F$68:$F$70)*P11+
SUMPRODUCT(Assumptions!$F$62:$F$64,Assumptions!$F$68:$F$70)/SUM(Assumptions!$F$68:$F$70)*P14)</f>
        <v/>
      </c>
      <c r="R37" s="14" t="inlineStr">
        <is>
          <t>payment processing websites</t>
        </is>
      </c>
    </row>
    <row r="39">
      <c r="D39" s="17" t="inlineStr">
        <is>
          <t>Salaries</t>
        </is>
      </c>
      <c r="M39" s="186">
        <f>SUM(M40:M42)</f>
        <v/>
      </c>
      <c r="N39" s="186">
        <f>SUM(N40:N42)</f>
        <v/>
      </c>
      <c r="O39" s="186">
        <f>SUM(O40:O42)</f>
        <v/>
      </c>
      <c r="P39" s="186">
        <f>SUM(P40:P42)</f>
        <v/>
      </c>
      <c r="Y39">
        <f>60*1.15</f>
        <v/>
      </c>
    </row>
    <row r="40">
      <c r="D40" s="18" t="inlineStr">
        <is>
          <t>Founder (1*3.5k EUR net/month)</t>
        </is>
      </c>
      <c r="E40" s="12" t="inlineStr">
        <is>
          <t>Gross/year</t>
        </is>
      </c>
      <c r="M40" s="193">
        <f>-Salaries!D3</f>
        <v/>
      </c>
      <c r="N40" s="193">
        <f>-Salaries!E3</f>
        <v/>
      </c>
      <c r="O40" s="193">
        <f>-Salaries!F3</f>
        <v/>
      </c>
      <c r="P40" s="193">
        <f>-Salaries!G3</f>
        <v/>
      </c>
      <c r="R40" s="79" t="inlineStr">
        <is>
          <t>Including taxes and social insurance</t>
        </is>
      </c>
    </row>
    <row r="41">
      <c r="D41" s="18" t="inlineStr">
        <is>
          <t>Customer service (1*2500 EUR net/month)</t>
        </is>
      </c>
      <c r="E41" s="12" t="inlineStr">
        <is>
          <t>Gross/year</t>
        </is>
      </c>
      <c r="M41" s="193" t="n"/>
      <c r="N41" s="193">
        <f>-Salaries!E10</f>
        <v/>
      </c>
      <c r="O41" s="193">
        <f>-Salaries!F10</f>
        <v/>
      </c>
      <c r="P41" s="193">
        <f>-Salaries!G10</f>
        <v/>
      </c>
    </row>
    <row r="42">
      <c r="D42" s="18" t="inlineStr">
        <is>
          <t>Designer (part time EUR net/month)</t>
        </is>
      </c>
      <c r="E42" s="12" t="inlineStr">
        <is>
          <t>Gross/year</t>
        </is>
      </c>
      <c r="M42" s="193" t="n"/>
      <c r="N42" s="193">
        <f>-Salaries!E17</f>
        <v/>
      </c>
      <c r="O42" s="193">
        <f>-Salaries!F17</f>
        <v/>
      </c>
      <c r="P42" s="193">
        <f>-Salaries!G17</f>
        <v/>
      </c>
    </row>
    <row r="44">
      <c r="D44" s="17" t="inlineStr">
        <is>
          <t>Marketing</t>
        </is>
      </c>
      <c r="M44" s="194">
        <f>-M45*M27</f>
        <v/>
      </c>
      <c r="N44" s="194">
        <f>-N45*N27</f>
        <v/>
      </c>
      <c r="O44" s="194">
        <f>-O45*O27</f>
        <v/>
      </c>
      <c r="P44" s="194">
        <f>P45*P27</f>
        <v/>
      </c>
    </row>
    <row r="45">
      <c r="D45" s="17" t="inlineStr">
        <is>
          <t>Marketing % (of revenue)</t>
        </is>
      </c>
      <c r="M45" s="75" t="n">
        <v>0.1</v>
      </c>
      <c r="N45" s="75" t="n">
        <v>0.1</v>
      </c>
      <c r="O45" s="75" t="n">
        <v>0.07000000000000001</v>
      </c>
      <c r="P45" s="75" t="n">
        <v>0.05</v>
      </c>
      <c r="R45" s="14" t="inlineStr">
        <is>
          <t>industry benchmark</t>
        </is>
      </c>
    </row>
    <row r="46">
      <c r="D46" s="18" t="inlineStr">
        <is>
          <t>Cost of free samples</t>
        </is>
      </c>
      <c r="E46" s="66" t="n">
        <v>0.2</v>
      </c>
      <c r="F46" s="66" t="n"/>
      <c r="G46" s="66" t="n"/>
      <c r="H46" s="66" t="n"/>
      <c r="I46" s="66" t="n"/>
      <c r="J46" s="66" t="n"/>
      <c r="K46" s="66" t="n"/>
      <c r="L46" s="66" t="n"/>
      <c r="M46" s="191">
        <f>M$44*$E46</f>
        <v/>
      </c>
      <c r="N46" s="191">
        <f>N$44*$E46</f>
        <v/>
      </c>
      <c r="O46" s="191">
        <f>O$44*$E46</f>
        <v/>
      </c>
      <c r="P46" s="191">
        <f>P$44*$E46</f>
        <v/>
      </c>
      <c r="R46" s="38" t="n"/>
    </row>
    <row r="47">
      <c r="D47" s="18" t="inlineStr">
        <is>
          <t>Paid ads</t>
        </is>
      </c>
      <c r="E47" s="66" t="n">
        <v>0.8</v>
      </c>
      <c r="F47" s="66" t="n"/>
      <c r="G47" s="66" t="n"/>
      <c r="H47" s="66" t="n"/>
      <c r="I47" s="66" t="n"/>
      <c r="J47" s="66" t="n"/>
      <c r="K47" s="66" t="n"/>
      <c r="L47" s="66" t="n"/>
      <c r="M47" s="191">
        <f>M$44*$E47</f>
        <v/>
      </c>
      <c r="N47" s="191">
        <f>N$44*$E47</f>
        <v/>
      </c>
      <c r="O47" s="191">
        <f>O$44*$E47</f>
        <v/>
      </c>
      <c r="P47" s="191">
        <f>P$44*$E47</f>
        <v/>
      </c>
      <c r="R47" s="38" t="n"/>
    </row>
    <row r="48">
      <c r="D48" s="17" t="n"/>
    </row>
    <row r="49">
      <c r="D49" s="17" t="inlineStr">
        <is>
          <t>Design cost</t>
        </is>
      </c>
      <c r="M49" s="186">
        <f>M51</f>
        <v/>
      </c>
      <c r="N49" s="186">
        <f>N51</f>
        <v/>
      </c>
      <c r="O49" s="186">
        <f>O51</f>
        <v/>
      </c>
      <c r="P49" s="186">
        <f>P51</f>
        <v/>
      </c>
    </row>
    <row r="50">
      <c r="D50" s="18" t="inlineStr">
        <is>
          <t>Number of templates per year</t>
        </is>
      </c>
      <c r="M50" s="69" t="n">
        <v>16</v>
      </c>
      <c r="N50" s="69" t="n">
        <v>16</v>
      </c>
      <c r="O50" s="69" t="n">
        <v>16</v>
      </c>
      <c r="P50" s="69" t="n">
        <v>16</v>
      </c>
    </row>
    <row r="51">
      <c r="D51" s="18" t="inlineStr">
        <is>
          <t>Design templates cost</t>
        </is>
      </c>
      <c r="M51" s="191">
        <f>-M50*Assumptions!$F$76</f>
        <v/>
      </c>
      <c r="N51" s="195">
        <f>-N50*Assumptions!$F$76</f>
        <v/>
      </c>
      <c r="O51" s="195">
        <f>-O50*Assumptions!$F$76</f>
        <v/>
      </c>
      <c r="P51" s="195">
        <f>-P50*Assumptions!$F$76</f>
        <v/>
      </c>
      <c r="R51" s="38" t="n"/>
    </row>
    <row r="52">
      <c r="D52" s="17" t="n"/>
    </row>
    <row r="53">
      <c r="D53" s="17" t="inlineStr">
        <is>
          <t>Operations</t>
        </is>
      </c>
      <c r="M53" s="186">
        <f>M54</f>
        <v/>
      </c>
      <c r="N53" s="186">
        <f>N54</f>
        <v/>
      </c>
      <c r="O53" s="186">
        <f>O54</f>
        <v/>
      </c>
      <c r="P53" s="186">
        <f>P54</f>
        <v/>
      </c>
    </row>
    <row r="54">
      <c r="D54" s="18" t="inlineStr">
        <is>
          <t>IT support (hosting, licences, etc.)</t>
        </is>
      </c>
      <c r="M54" s="196" t="n">
        <v>-500</v>
      </c>
      <c r="N54" s="197">
        <f>M54</f>
        <v/>
      </c>
      <c r="O54" s="197">
        <f>N54</f>
        <v/>
      </c>
      <c r="P54" s="197">
        <f>O54</f>
        <v/>
      </c>
    </row>
    <row r="55">
      <c r="D55" s="18" t="inlineStr">
        <is>
          <t>API fee</t>
        </is>
      </c>
      <c r="M55" s="196" t="n">
        <v>-1100</v>
      </c>
      <c r="N55" s="196" t="n"/>
      <c r="O55" s="196" t="n"/>
      <c r="P55" s="196" t="n"/>
      <c r="R55" s="19" t="inlineStr">
        <is>
          <t>updated 31.07.2026</t>
        </is>
      </c>
    </row>
    <row r="56">
      <c r="D56" s="18" t="n"/>
    </row>
    <row r="57">
      <c r="D57" s="17" t="inlineStr">
        <is>
          <t>Corporate overhead</t>
        </is>
      </c>
      <c r="M57" s="186">
        <f>SUM(M58:M60)</f>
        <v/>
      </c>
      <c r="N57" s="186">
        <f>SUM(N58:N60)</f>
        <v/>
      </c>
      <c r="O57" s="186">
        <f>SUM(O58:O60)</f>
        <v/>
      </c>
      <c r="P57" s="186">
        <f>SUM(P58:P60)</f>
        <v/>
      </c>
    </row>
    <row r="58">
      <c r="D58" s="18" t="inlineStr">
        <is>
          <t>Company registration</t>
        </is>
      </c>
      <c r="M58" s="196" t="n">
        <v>-300</v>
      </c>
      <c r="R58" s="14" t="inlineStr">
        <is>
          <t>estimation</t>
        </is>
      </c>
    </row>
    <row r="59">
      <c r="D59" s="18" t="inlineStr">
        <is>
          <t>Trademark registration</t>
        </is>
      </c>
      <c r="M59" s="196" t="n">
        <v>-250</v>
      </c>
      <c r="R59" s="14" t="inlineStr">
        <is>
          <t>estimation</t>
        </is>
      </c>
    </row>
    <row r="60">
      <c r="D60" s="18" t="inlineStr">
        <is>
          <t>Accountant</t>
        </is>
      </c>
      <c r="M60" s="196" t="n">
        <v>-1800</v>
      </c>
      <c r="N60" s="198">
        <f>M60</f>
        <v/>
      </c>
      <c r="O60" s="198">
        <f>N60</f>
        <v/>
      </c>
      <c r="P60" s="198">
        <f>O60</f>
        <v/>
      </c>
      <c r="R60" s="14" t="inlineStr">
        <is>
          <t>estimation</t>
        </is>
      </c>
    </row>
    <row r="61">
      <c r="D61" s="18" t="n"/>
      <c r="M61" s="196" t="n"/>
      <c r="N61" s="198" t="n"/>
      <c r="O61" s="198" t="n"/>
      <c r="P61" s="198" t="n"/>
      <c r="R61" s="38" t="n"/>
    </row>
    <row r="62">
      <c r="D62" s="23" t="inlineStr">
        <is>
          <t>Depreciation</t>
        </is>
      </c>
      <c r="M62" s="194">
        <f>M64</f>
        <v/>
      </c>
      <c r="N62" s="194">
        <f>N64</f>
        <v/>
      </c>
      <c r="O62" s="194">
        <f>O64</f>
        <v/>
      </c>
      <c r="P62" s="194">
        <f>P64</f>
        <v/>
      </c>
      <c r="R62" s="38" t="n"/>
    </row>
    <row r="63">
      <c r="D63" s="18" t="inlineStr">
        <is>
          <t>Years of depreciation</t>
        </is>
      </c>
      <c r="E63" s="79" t="n">
        <v>3</v>
      </c>
      <c r="F63" s="79" t="n"/>
      <c r="G63" s="79" t="n"/>
      <c r="H63" s="79" t="n"/>
      <c r="I63" s="79" t="n"/>
      <c r="J63" s="79" t="n"/>
      <c r="K63" s="79" t="n"/>
      <c r="L63" s="79" t="n"/>
      <c r="M63" s="196" t="n"/>
      <c r="N63" s="198" t="n"/>
      <c r="O63" s="198" t="n"/>
      <c r="P63" s="198" t="n"/>
      <c r="R63" s="38" t="inlineStr">
        <is>
          <t>simplified</t>
        </is>
      </c>
    </row>
    <row r="64">
      <c r="D64" s="18" t="n"/>
      <c r="M64" s="196">
        <f>M76/3</f>
        <v/>
      </c>
      <c r="N64" s="198">
        <f>M64+N76/3</f>
        <v/>
      </c>
      <c r="O64" s="198">
        <f>N64+O76/3</f>
        <v/>
      </c>
      <c r="P64" s="198">
        <f>N76/3+O76/3+P76/3</f>
        <v/>
      </c>
      <c r="R64" s="38" t="n"/>
    </row>
    <row r="65">
      <c r="D65" s="18" t="n"/>
      <c r="M65" s="196" t="n"/>
      <c r="N65" s="198" t="n"/>
      <c r="O65" s="198" t="n"/>
      <c r="P65" s="198" t="n"/>
      <c r="R65" s="38" t="n"/>
    </row>
    <row r="66">
      <c r="D66" s="17" t="inlineStr">
        <is>
          <t>Total OPEX (without contingency)</t>
        </is>
      </c>
      <c r="M66" s="186">
        <f>M57+M39+M53+M49+M44+M31+M62</f>
        <v/>
      </c>
      <c r="N66" s="186">
        <f>N57+N39+N53+N49+N44+N31+N62</f>
        <v/>
      </c>
      <c r="O66" s="186">
        <f>O57+O39+O53+O49+O44+O31+O62</f>
        <v/>
      </c>
      <c r="P66" s="186">
        <f>P57+P39+P53+P49+P44+P31+P62</f>
        <v/>
      </c>
    </row>
    <row r="67">
      <c r="D67" s="17" t="n"/>
      <c r="M67" s="186" t="n"/>
      <c r="N67" s="186" t="n"/>
      <c r="O67" s="186" t="n"/>
      <c r="P67" s="186" t="n"/>
    </row>
    <row r="68">
      <c r="D68" s="12" t="inlineStr">
        <is>
          <t>Contingency rate</t>
        </is>
      </c>
      <c r="M68" s="4" t="n">
        <v>0.05</v>
      </c>
      <c r="N68" s="4">
        <f>M68</f>
        <v/>
      </c>
      <c r="O68" s="4">
        <f>N68</f>
        <v/>
      </c>
      <c r="P68" s="4">
        <f>O68</f>
        <v/>
      </c>
    </row>
    <row r="69">
      <c r="D69" s="17" t="inlineStr">
        <is>
          <t>Contingency budget</t>
        </is>
      </c>
      <c r="M69" s="195">
        <f>M66*M68</f>
        <v/>
      </c>
      <c r="N69" s="195">
        <f>N66*N68</f>
        <v/>
      </c>
      <c r="O69" s="195">
        <f>O66*O68</f>
        <v/>
      </c>
      <c r="P69" s="195">
        <f>P66*P68</f>
        <v/>
      </c>
    </row>
    <row r="70">
      <c r="D70" s="18" t="n"/>
      <c r="M70" s="196" t="n"/>
      <c r="N70" s="198" t="n"/>
      <c r="O70" s="198" t="n"/>
      <c r="P70" s="198" t="n"/>
      <c r="R70" s="38" t="n"/>
    </row>
    <row r="71">
      <c r="D71" s="23" t="inlineStr">
        <is>
          <t>Total OPEX</t>
        </is>
      </c>
      <c r="M71" s="194">
        <f>M66+M69</f>
        <v/>
      </c>
      <c r="N71" s="194">
        <f>N66+N69</f>
        <v/>
      </c>
      <c r="O71" s="194">
        <f>O66+O69</f>
        <v/>
      </c>
      <c r="P71" s="194">
        <f>P66+P69</f>
        <v/>
      </c>
      <c r="R71" s="38" t="n"/>
    </row>
    <row r="72">
      <c r="D72" s="18" t="n"/>
      <c r="M72" s="196" t="n"/>
      <c r="N72" s="196" t="n"/>
      <c r="O72" s="196" t="n"/>
      <c r="P72" s="198" t="n"/>
      <c r="R72" s="38" t="n"/>
    </row>
    <row r="73">
      <c r="R73" s="12" t="n"/>
    </row>
    <row r="74">
      <c r="B74" s="15" t="n">
        <v>3</v>
      </c>
      <c r="D74" s="16" t="inlineStr">
        <is>
          <t>CAPEX</t>
        </is>
      </c>
      <c r="M74" s="186">
        <f>M76</f>
        <v/>
      </c>
      <c r="N74" s="186">
        <f>N76</f>
        <v/>
      </c>
      <c r="O74" s="186">
        <f>O76</f>
        <v/>
      </c>
      <c r="P74" s="186">
        <f>P76</f>
        <v/>
      </c>
      <c r="Q74" s="186" t="n"/>
    </row>
    <row r="75">
      <c r="D75" s="17" t="n"/>
      <c r="M75" s="196" t="n"/>
      <c r="N75" s="196" t="n"/>
      <c r="O75" s="196" t="n"/>
    </row>
    <row r="76">
      <c r="D76" s="18" t="inlineStr">
        <is>
          <t>Platform development</t>
        </is>
      </c>
      <c r="M76" s="196" t="n">
        <v>-1000</v>
      </c>
      <c r="N76" s="196" t="n"/>
      <c r="O76" s="197" t="n"/>
      <c r="P76" s="197" t="n"/>
      <c r="R76" s="38" t="n"/>
    </row>
    <row r="77">
      <c r="D77" s="17" t="n"/>
      <c r="M77" s="196" t="n"/>
      <c r="N77" s="196" t="n"/>
      <c r="O77" s="196" t="n"/>
    </row>
    <row r="78">
      <c r="D78" s="17" t="inlineStr">
        <is>
          <t>Total costs</t>
        </is>
      </c>
      <c r="M78" s="186">
        <f>M66+M69</f>
        <v/>
      </c>
      <c r="N78" s="186">
        <f>N66+N69</f>
        <v/>
      </c>
      <c r="O78" s="186">
        <f>O66+O69</f>
        <v/>
      </c>
      <c r="P78" s="186">
        <f>P66+P69</f>
        <v/>
      </c>
    </row>
    <row r="79">
      <c r="M79" s="197" t="n"/>
      <c r="N79" s="197" t="n"/>
      <c r="O79" s="197" t="n"/>
    </row>
    <row r="81">
      <c r="B81" s="15" t="n">
        <v>4</v>
      </c>
      <c r="D81" s="16" t="inlineStr">
        <is>
          <t>Margin</t>
        </is>
      </c>
    </row>
    <row r="83">
      <c r="D83" s="17" t="inlineStr">
        <is>
          <t>Gross profit</t>
        </is>
      </c>
      <c r="E83" s="17" t="n"/>
      <c r="F83" s="17" t="n"/>
      <c r="G83" s="17" t="n"/>
      <c r="H83" s="17" t="n"/>
      <c r="I83" s="17" t="n"/>
      <c r="J83" s="17" t="n"/>
      <c r="K83" s="17" t="n"/>
      <c r="L83" s="17" t="n"/>
      <c r="M83" s="186">
        <f>M11+M31</f>
        <v/>
      </c>
      <c r="N83" s="186">
        <f>N11+N31</f>
        <v/>
      </c>
      <c r="O83" s="186">
        <f>O11+O31</f>
        <v/>
      </c>
      <c r="P83" s="186">
        <f>P11+P31</f>
        <v/>
      </c>
    </row>
    <row r="84">
      <c r="D84" s="12" t="inlineStr">
        <is>
          <t>Gross margin</t>
        </is>
      </c>
      <c r="M84" s="34">
        <f>M83/M11</f>
        <v/>
      </c>
      <c r="N84" s="34">
        <f>N83/N11</f>
        <v/>
      </c>
      <c r="O84" s="34">
        <f>O83/O11</f>
        <v/>
      </c>
      <c r="P84" s="34">
        <f>P83/P11</f>
        <v/>
      </c>
    </row>
    <row r="85">
      <c r="D85" s="17" t="inlineStr">
        <is>
          <t>EBIT</t>
        </is>
      </c>
      <c r="E85" s="17" t="n"/>
      <c r="F85" s="17" t="n"/>
      <c r="G85" s="17" t="n"/>
      <c r="H85" s="17" t="n"/>
      <c r="I85" s="17" t="n"/>
      <c r="J85" s="17" t="n"/>
      <c r="K85" s="17" t="n"/>
      <c r="L85" s="17" t="n"/>
      <c r="M85" s="186">
        <f>M11+M71</f>
        <v/>
      </c>
      <c r="N85" s="186">
        <f>N11+N71</f>
        <v/>
      </c>
      <c r="O85" s="199">
        <f>O11+O71</f>
        <v/>
      </c>
      <c r="P85" s="186">
        <f>P11+P71</f>
        <v/>
      </c>
    </row>
    <row r="86">
      <c r="D86" s="12" t="inlineStr">
        <is>
          <t>Operating margin</t>
        </is>
      </c>
      <c r="M86" s="34">
        <f>M85/M11</f>
        <v/>
      </c>
      <c r="N86" s="34">
        <f>N85/N11</f>
        <v/>
      </c>
      <c r="O86" s="34">
        <f>O85/O11</f>
        <v/>
      </c>
      <c r="P86" s="34">
        <f>P85/P11</f>
        <v/>
      </c>
    </row>
    <row r="88">
      <c r="B88" s="15" t="n">
        <v>5</v>
      </c>
      <c r="D88" s="16" t="inlineStr">
        <is>
          <t>Taxes</t>
        </is>
      </c>
    </row>
    <row r="89">
      <c r="R89" s="14" t="inlineStr">
        <is>
          <t>Tax rates (appr.)</t>
        </is>
      </c>
    </row>
    <row r="90">
      <c r="D90" s="12" t="inlineStr">
        <is>
          <t>CIT (income tax)</t>
        </is>
      </c>
      <c r="M90" s="197">
        <f>IF(M85&gt;0,M85*$R$90,500)</f>
        <v/>
      </c>
      <c r="N90" s="197">
        <f>IF(N85&gt;0,N85*$R$90,500)</f>
        <v/>
      </c>
      <c r="O90" s="197">
        <f>IF(O85&gt;0,O85*$R$90,500)</f>
        <v/>
      </c>
      <c r="P90" s="197">
        <f>IF(P85&gt;0,P85*$R$90,500)</f>
        <v/>
      </c>
      <c r="R90" s="67" t="n">
        <v>0.23</v>
      </c>
    </row>
    <row r="91">
      <c r="D91" s="12" t="inlineStr">
        <is>
          <t>NOPAT (Net operating profit after tax)</t>
        </is>
      </c>
      <c r="M91" s="197">
        <f>M85-M90</f>
        <v/>
      </c>
      <c r="N91" s="197">
        <f>N85-N90</f>
        <v/>
      </c>
      <c r="O91" s="200">
        <f>O85-O90</f>
        <v/>
      </c>
      <c r="P91" s="201">
        <f>P85-P90</f>
        <v/>
      </c>
      <c r="R91" s="67" t="n"/>
    </row>
    <row r="92">
      <c r="D92" s="12" t="inlineStr">
        <is>
          <t>Divident tax</t>
        </is>
      </c>
      <c r="M92" s="197">
        <f>IF(M91&gt;0,M91*$R$92,0)</f>
        <v/>
      </c>
      <c r="N92" s="197">
        <f>IF(N91&gt;0,N91*$R$92,0)</f>
        <v/>
      </c>
      <c r="O92" s="197">
        <f>IF(O91&gt;0,O91*$R$92,0)</f>
        <v/>
      </c>
      <c r="P92" s="197">
        <f>IF(P91&gt;0,P91*$R$92,0)</f>
        <v/>
      </c>
      <c r="R92" s="202" t="n">
        <v>0.275</v>
      </c>
    </row>
    <row r="94">
      <c r="B94" s="15" t="n">
        <v>6</v>
      </c>
      <c r="D94" s="16" t="inlineStr">
        <is>
          <t>Net income / dividents</t>
        </is>
      </c>
      <c r="M94" s="186">
        <f>M91-M92</f>
        <v/>
      </c>
      <c r="N94" s="186">
        <f>N91-N92</f>
        <v/>
      </c>
      <c r="O94" s="186">
        <f>O91-O92</f>
        <v/>
      </c>
      <c r="P94" s="186">
        <f>P91-P92</f>
        <v/>
      </c>
    </row>
    <row r="96">
      <c r="B96" s="15" t="n">
        <v>7</v>
      </c>
      <c r="D96" s="16" t="inlineStr">
        <is>
          <t>Cash flow</t>
        </is>
      </c>
      <c r="M96" s="186" t="n"/>
      <c r="N96" s="186" t="n"/>
      <c r="O96" s="186" t="n"/>
      <c r="P96" s="186" t="n"/>
    </row>
    <row r="98">
      <c r="D98" s="12" t="inlineStr">
        <is>
          <t>FCF</t>
        </is>
      </c>
      <c r="M98" s="197">
        <f>M85-M64+M76</f>
        <v/>
      </c>
      <c r="N98" s="197">
        <f>N85-N64+N76</f>
        <v/>
      </c>
      <c r="O98" s="197">
        <f>O85-O64+O76</f>
        <v/>
      </c>
      <c r="P98" s="197">
        <f>P85-P64+P76</f>
        <v/>
      </c>
    </row>
    <row r="99">
      <c r="D99" s="12" t="inlineStr">
        <is>
          <t>WACC</t>
        </is>
      </c>
      <c r="M99" s="34" t="n">
        <v>0.08</v>
      </c>
      <c r="N99" s="34" t="n"/>
      <c r="O99" s="34" t="n"/>
      <c r="P99" s="34" t="n"/>
    </row>
    <row r="100">
      <c r="D100" s="12" t="inlineStr">
        <is>
          <t>NPV</t>
        </is>
      </c>
      <c r="M100" s="203">
        <f>NPV(M99,N98:P98)+M98</f>
        <v/>
      </c>
    </row>
  </sheetData>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2:T109"/>
  <sheetViews>
    <sheetView topLeftCell="A54" zoomScale="60" zoomScaleNormal="60" workbookViewId="0">
      <selection activeCell="J81" sqref="J81"/>
    </sheetView>
  </sheetViews>
  <sheetFormatPr baseColWidth="8" defaultRowHeight="14.4"/>
  <cols>
    <col width="8.6640625" customWidth="1" style="12" min="1" max="1"/>
    <col width="4.33203125" customWidth="1" style="12" min="2" max="2"/>
    <col width="1.6640625" customWidth="1" style="12" min="3" max="3"/>
    <col width="36.109375" customWidth="1" style="12" min="4" max="4"/>
    <col width="8.6640625" customWidth="1" style="12" min="5" max="6"/>
    <col width="8.88671875" customWidth="1" style="12" min="7" max="7"/>
    <col width="12" customWidth="1" style="12" min="8" max="8"/>
    <col width="12.5546875" customWidth="1" style="12" min="9" max="15"/>
    <col width="12.5546875" customWidth="1" style="180" min="16" max="18"/>
    <col width="35.21875" customWidth="1" style="180" min="20" max="20"/>
  </cols>
  <sheetData>
    <row r="2">
      <c r="A2" s="39" t="n"/>
      <c r="B2" s="44" t="n"/>
      <c r="C2" s="41" t="n"/>
      <c r="D2" s="40" t="inlineStr">
        <is>
          <t>hard input</t>
        </is>
      </c>
      <c r="E2" s="42" t="n"/>
      <c r="F2" s="42" t="n"/>
      <c r="G2" s="42" t="n"/>
      <c r="H2" s="42" t="n"/>
      <c r="I2" s="42" t="n"/>
      <c r="J2" s="42" t="n"/>
      <c r="K2" s="42" t="n"/>
      <c r="L2" s="42" t="n"/>
      <c r="M2" s="42" t="n"/>
      <c r="N2" s="42" t="n"/>
      <c r="O2" s="42" t="n"/>
      <c r="P2" s="42" t="n"/>
      <c r="Q2" s="42" t="n"/>
      <c r="R2" s="42" t="n"/>
      <c r="S2" s="42" t="n"/>
      <c r="T2" s="42" t="n"/>
    </row>
    <row r="3">
      <c r="A3" s="39" t="n"/>
      <c r="B3" s="44" t="n"/>
      <c r="C3" s="41" t="n"/>
      <c r="D3" s="72" t="inlineStr">
        <is>
          <t>link to Assumptions tab</t>
        </is>
      </c>
      <c r="E3" s="42" t="n"/>
      <c r="F3" s="42" t="n"/>
      <c r="G3" s="42" t="n"/>
      <c r="H3" s="42" t="n"/>
      <c r="I3" s="42" t="n"/>
      <c r="J3" s="42" t="n"/>
      <c r="K3" s="42" t="n"/>
      <c r="L3" s="42" t="n"/>
      <c r="M3" s="42" t="n"/>
      <c r="N3" s="42" t="n"/>
      <c r="O3" s="42" t="n"/>
      <c r="P3" s="42" t="n"/>
      <c r="Q3" s="42" t="n"/>
      <c r="R3" s="42" t="n"/>
      <c r="S3" s="42" t="n"/>
      <c r="T3" s="42" t="n"/>
    </row>
    <row r="4" ht="15.6" customHeight="1" s="180">
      <c r="A4" s="39" t="n"/>
      <c r="B4" s="44" t="n"/>
      <c r="C4" s="41" t="n"/>
      <c r="D4" s="47" t="inlineStr">
        <is>
          <t>calc</t>
        </is>
      </c>
      <c r="E4" s="42" t="n"/>
      <c r="F4" s="42" t="n"/>
      <c r="G4" s="42" t="n"/>
      <c r="H4" s="42" t="n"/>
      <c r="I4" s="42" t="n"/>
      <c r="J4" s="42" t="n"/>
      <c r="K4" s="42" t="n"/>
      <c r="L4" s="42" t="n"/>
      <c r="M4" s="42" t="n"/>
      <c r="N4" s="42" t="n"/>
      <c r="O4" s="42" t="n"/>
      <c r="P4" s="42" t="n"/>
      <c r="Q4" s="42" t="n"/>
      <c r="R4" s="42" t="n"/>
      <c r="S4" s="42" t="n"/>
      <c r="T4" s="42" t="n"/>
    </row>
    <row r="5" ht="15.6" customHeight="1" s="180">
      <c r="A5" s="39" t="n"/>
      <c r="B5" s="44" t="n"/>
      <c r="C5" s="41" t="n"/>
      <c r="D5" s="48" t="inlineStr">
        <is>
          <t>not used for calcs</t>
        </is>
      </c>
      <c r="E5" s="42" t="n"/>
      <c r="F5" s="42" t="n"/>
      <c r="G5" s="42" t="n"/>
      <c r="H5" s="42" t="n"/>
      <c r="I5" s="42" t="n"/>
      <c r="J5" s="42" t="n"/>
      <c r="K5" s="42" t="n"/>
      <c r="L5" s="42" t="n"/>
      <c r="M5" s="42" t="n"/>
      <c r="N5" s="42" t="n"/>
      <c r="O5" s="42" t="n"/>
      <c r="P5" s="42" t="n"/>
      <c r="Q5" s="42" t="n"/>
      <c r="R5" s="42" t="n"/>
      <c r="S5" s="42" t="n"/>
      <c r="T5" s="42" t="n"/>
    </row>
    <row r="6">
      <c r="D6" s="17" t="inlineStr">
        <is>
          <t>Printing provider</t>
        </is>
      </c>
      <c r="F6" s="110" t="inlineStr">
        <is>
          <t>Printsmarter</t>
        </is>
      </c>
      <c r="G6" s="110" t="n"/>
      <c r="H6" s="110" t="n"/>
    </row>
    <row r="7">
      <c r="D7" s="111" t="inlineStr">
        <is>
          <t>Provider index (1=Printsmarter, 2=Elanders)</t>
        </is>
      </c>
      <c r="F7" s="114">
        <f>IF($F$6="Elanders",2,1)</f>
        <v/>
      </c>
      <c r="G7" s="114" t="n"/>
      <c r="H7" s="114" t="n"/>
    </row>
    <row r="8">
      <c r="G8" s="12" t="n">
        <v>2026</v>
      </c>
      <c r="H8" s="12" t="n">
        <v>2026</v>
      </c>
      <c r="I8" s="55" t="n">
        <v>2026</v>
      </c>
      <c r="J8" s="55" t="n">
        <v>2026</v>
      </c>
      <c r="K8" s="12" t="n">
        <v>2027</v>
      </c>
      <c r="L8" s="12" t="n">
        <v>2027</v>
      </c>
      <c r="M8" s="12" t="n">
        <v>2027</v>
      </c>
      <c r="N8" s="12" t="n">
        <v>2027</v>
      </c>
      <c r="O8" s="12" t="n">
        <v>2028</v>
      </c>
      <c r="P8" s="12" t="n">
        <v>2028</v>
      </c>
      <c r="Q8" s="12" t="n">
        <v>2028</v>
      </c>
      <c r="R8" s="12" t="n">
        <v>2028</v>
      </c>
    </row>
    <row r="9">
      <c r="B9" s="8" t="inlineStr">
        <is>
          <t>#</t>
        </is>
      </c>
      <c r="D9" s="8" t="inlineStr">
        <is>
          <t>Metric</t>
        </is>
      </c>
      <c r="E9" s="8" t="inlineStr">
        <is>
          <t>Unit</t>
        </is>
      </c>
      <c r="F9" s="8" t="n"/>
      <c r="G9" s="8" t="inlineStr">
        <is>
          <t>1Q 2026</t>
        </is>
      </c>
      <c r="H9" s="8" t="inlineStr">
        <is>
          <t>2Q 2026</t>
        </is>
      </c>
      <c r="I9" s="158" t="inlineStr">
        <is>
          <t>3Q 2026</t>
        </is>
      </c>
      <c r="J9" s="158" t="inlineStr">
        <is>
          <t>4Q 2026</t>
        </is>
      </c>
      <c r="K9" s="158" t="inlineStr">
        <is>
          <t>1Q 2027</t>
        </is>
      </c>
      <c r="L9" s="158" t="inlineStr">
        <is>
          <t>2Q 2027</t>
        </is>
      </c>
      <c r="M9" s="158" t="inlineStr">
        <is>
          <t>3Q 2027</t>
        </is>
      </c>
      <c r="N9" s="158" t="inlineStr">
        <is>
          <t>4Q2027</t>
        </is>
      </c>
      <c r="O9" s="158" t="inlineStr">
        <is>
          <t>1Q 2028</t>
        </is>
      </c>
      <c r="P9" s="158" t="inlineStr">
        <is>
          <t>2Q 2028</t>
        </is>
      </c>
      <c r="Q9" s="158" t="inlineStr">
        <is>
          <t>3Q 2028</t>
        </is>
      </c>
      <c r="R9" s="158" t="inlineStr">
        <is>
          <t>4Q2028</t>
        </is>
      </c>
      <c r="T9" s="8" t="inlineStr">
        <is>
          <t>Comments</t>
        </is>
      </c>
    </row>
    <row r="11">
      <c r="B11" s="15" t="n">
        <v>1</v>
      </c>
      <c r="D11" s="16" t="inlineStr">
        <is>
          <t>Revenue</t>
        </is>
      </c>
      <c r="G11" s="186">
        <f>G34</f>
        <v/>
      </c>
      <c r="H11" s="186">
        <f>H34</f>
        <v/>
      </c>
      <c r="I11" s="186">
        <f>I34</f>
        <v/>
      </c>
      <c r="J11" s="186">
        <f>J34</f>
        <v/>
      </c>
      <c r="K11" s="186">
        <f>K34</f>
        <v/>
      </c>
      <c r="L11" s="186">
        <f>L34</f>
        <v/>
      </c>
      <c r="M11" s="186">
        <f>M34</f>
        <v/>
      </c>
      <c r="N11" s="186">
        <f>N34</f>
        <v/>
      </c>
      <c r="O11" s="186">
        <f>O34</f>
        <v/>
      </c>
      <c r="P11" s="186">
        <f>P34</f>
        <v/>
      </c>
      <c r="Q11" s="186">
        <f>Q34</f>
        <v/>
      </c>
      <c r="R11" s="186">
        <f>R34</f>
        <v/>
      </c>
    </row>
    <row r="12">
      <c r="O12" s="63" t="n"/>
    </row>
    <row r="13">
      <c r="D13" s="12" t="inlineStr">
        <is>
          <t>Number of orders per day</t>
        </is>
      </c>
      <c r="G13" s="12">
        <f>Marketing!G33</f>
        <v/>
      </c>
      <c r="H13" s="12">
        <f>Marketing!H33</f>
        <v/>
      </c>
      <c r="I13" s="12">
        <f>Marketing!I33</f>
        <v/>
      </c>
      <c r="J13" s="160">
        <f>Marketing!J33</f>
        <v/>
      </c>
      <c r="K13" s="160">
        <f>Marketing!K33</f>
        <v/>
      </c>
      <c r="L13" s="160">
        <f>Marketing!L33</f>
        <v/>
      </c>
      <c r="M13" s="160">
        <f>Marketing!M33</f>
        <v/>
      </c>
      <c r="N13" s="160">
        <f>Marketing!N33</f>
        <v/>
      </c>
      <c r="O13" s="160">
        <f>Marketing!O33</f>
        <v/>
      </c>
      <c r="P13" s="160">
        <f>Marketing!P33</f>
        <v/>
      </c>
      <c r="Q13" s="160">
        <f>Marketing!Q33</f>
        <v/>
      </c>
      <c r="R13" s="160">
        <f>Marketing!R33</f>
        <v/>
      </c>
      <c r="T13" t="inlineStr">
        <is>
          <t>Driven by Marketing tab (was hard-typed).</t>
        </is>
      </c>
    </row>
    <row r="14">
      <c r="D14" s="12" t="inlineStr">
        <is>
          <t>Number of orders per month</t>
        </is>
      </c>
      <c r="G14" s="12" t="n">
        <v>0</v>
      </c>
      <c r="H14" s="12" t="n">
        <v>0</v>
      </c>
      <c r="I14" s="12" t="n">
        <v>0</v>
      </c>
      <c r="J14" s="64">
        <f>J13*30</f>
        <v/>
      </c>
      <c r="K14" s="64">
        <f>K13*30</f>
        <v/>
      </c>
      <c r="L14" s="64">
        <f>L13*30</f>
        <v/>
      </c>
      <c r="M14" s="64">
        <f>M13*30</f>
        <v/>
      </c>
      <c r="N14" s="64">
        <f>N13*30</f>
        <v/>
      </c>
      <c r="O14" s="64">
        <f>O13*30</f>
        <v/>
      </c>
      <c r="P14" s="64">
        <f>P13*30</f>
        <v/>
      </c>
      <c r="Q14" s="64">
        <f>Q13*30</f>
        <v/>
      </c>
      <c r="R14" s="64">
        <f>R13*30</f>
        <v/>
      </c>
    </row>
    <row r="15">
      <c r="D15" s="12" t="inlineStr">
        <is>
          <t>Number of orders per quarter</t>
        </is>
      </c>
      <c r="G15" s="12" t="n">
        <v>0</v>
      </c>
      <c r="H15" s="12" t="n">
        <v>0</v>
      </c>
      <c r="I15" s="12" t="n">
        <v>0</v>
      </c>
      <c r="J15" s="64">
        <f>J14*3</f>
        <v/>
      </c>
      <c r="K15" s="64">
        <f>K14*3</f>
        <v/>
      </c>
      <c r="L15" s="64">
        <f>L14*3</f>
        <v/>
      </c>
      <c r="M15" s="64">
        <f>M14*3</f>
        <v/>
      </c>
      <c r="N15" s="64">
        <f>N14*3</f>
        <v/>
      </c>
      <c r="O15" s="64">
        <f>O14*3</f>
        <v/>
      </c>
      <c r="P15" s="64">
        <f>P14*3</f>
        <v/>
      </c>
      <c r="Q15" s="64">
        <f>Q14*3</f>
        <v/>
      </c>
      <c r="R15" s="64">
        <f>R14*3</f>
        <v/>
      </c>
    </row>
    <row r="16">
      <c r="J16" s="55" t="n"/>
      <c r="O16" s="71" t="n"/>
    </row>
    <row r="17">
      <c r="D17" s="18" t="inlineStr">
        <is>
          <t>B2C</t>
        </is>
      </c>
      <c r="E17" s="12" t="inlineStr">
        <is>
          <t># orders</t>
        </is>
      </c>
      <c r="G17" s="161">
        <f>ROUND(IF(G15-G18&lt;=0,0,G15-G18),0)</f>
        <v/>
      </c>
      <c r="H17" s="161">
        <f>ROUND(IF(H15-H18&lt;=0,0,H15-H18),0)</f>
        <v/>
      </c>
      <c r="I17" s="161">
        <f>ROUND(IF(I15-I18&lt;=0,0,I15-I18),0)</f>
        <v/>
      </c>
      <c r="J17" s="161">
        <f>ROUND(IF(J15-J18&lt;=0,0,J15-J18),0)</f>
        <v/>
      </c>
      <c r="K17" s="161">
        <f>ROUND(IF(K15-K18&lt;=0,0,K15-K18),0)</f>
        <v/>
      </c>
      <c r="L17" s="161">
        <f>ROUND(IF(L15-L18&lt;=0,0,L15-L18),0)</f>
        <v/>
      </c>
      <c r="M17" s="161">
        <f>ROUND(IF(M15-M18&lt;=0,0,M15-M18),0)</f>
        <v/>
      </c>
      <c r="N17" s="161">
        <f>ROUND(IF(N15-N18&lt;=0,0,N15-N18),0)</f>
        <v/>
      </c>
      <c r="O17" s="161">
        <f>ROUND(IF(O15-O18&lt;=0,0,O15-O18),0)</f>
        <v/>
      </c>
      <c r="P17" s="161">
        <f>ROUND(IF(P15-P18&lt;=0,0,P15-P18),0)</f>
        <v/>
      </c>
      <c r="Q17" s="161">
        <f>ROUND(IF(Q15-Q18&lt;=0,0,Q15-Q18),0)</f>
        <v/>
      </c>
      <c r="R17" s="161">
        <f>ROUND(IF(R15-R18&lt;=0,0,R15-R18),0)</f>
        <v/>
      </c>
    </row>
    <row r="18">
      <c r="D18" s="18" t="inlineStr">
        <is>
          <t>B2B</t>
        </is>
      </c>
      <c r="E18" s="12" t="inlineStr">
        <is>
          <t># orders</t>
        </is>
      </c>
      <c r="G18" s="163">
        <f t="array" ref="G18">G15*INDEX(Assumptions!$F$84:$I$84,,MATCH(G$8,Assumptions!$F$82:$I$82))</f>
        <v/>
      </c>
      <c r="H18" s="163">
        <f t="array" ref="H18">H15*INDEX(Assumptions!$F$84:$I$84,,MATCH(H$8,Assumptions!$F$82:$I$82))</f>
        <v/>
      </c>
      <c r="I18" s="163">
        <f t="array" ref="I18">I15*INDEX(Assumptions!$F$84:$I$84,,MATCH(I$8,Assumptions!$F$82:$I$82))</f>
        <v/>
      </c>
      <c r="J18" s="163">
        <f t="array" ref="J18">J15*INDEX(Assumptions!$F$84:$I$84,,MATCH(J$8,Assumptions!$F$82:$I$82))</f>
        <v/>
      </c>
      <c r="K18" s="163">
        <f t="array" ref="K18">K15*INDEX(Assumptions!$F$84:$I$84,,MATCH(K$8,Assumptions!$F$82:$I$82))</f>
        <v/>
      </c>
      <c r="L18" s="163">
        <f t="array" ref="L18">L15*INDEX(Assumptions!$F$84:$I$84,,MATCH(L$8,Assumptions!$F$82:$I$82))</f>
        <v/>
      </c>
      <c r="M18" s="163">
        <f t="array" ref="M18">M15*INDEX(Assumptions!$F$84:$I$84,,MATCH(M$8,Assumptions!$F$82:$I$82))</f>
        <v/>
      </c>
      <c r="N18" s="163">
        <f t="array" ref="N18">N15*INDEX(Assumptions!$F$84:$I$84,,MATCH(N$8,Assumptions!$F$82:$I$82))</f>
        <v/>
      </c>
      <c r="O18" s="163">
        <f t="array" ref="O18">O15*INDEX(Assumptions!$F$84:$I$84,,MATCH(O$8,Assumptions!$F$82:$I$82))</f>
        <v/>
      </c>
      <c r="P18" s="163">
        <f t="array" ref="P18">P15*INDEX(Assumptions!$F$84:$I$84,,MATCH(P$8,Assumptions!$F$82:$I$82))</f>
        <v/>
      </c>
      <c r="Q18" s="163">
        <f t="array" ref="Q18">Q15*INDEX(Assumptions!$F$84:$I$84,,MATCH(Q$8,Assumptions!$F$82:$I$82))</f>
        <v/>
      </c>
      <c r="R18" s="163">
        <f t="array" ref="R18">R15*INDEX(Assumptions!$F$84:$I$84,,MATCH(R$8,Assumptions!$F$82:$I$82))</f>
        <v/>
      </c>
    </row>
    <row r="19">
      <c r="D19" s="18" t="n"/>
      <c r="I19" s="104" t="n"/>
      <c r="J19" s="104" t="n"/>
      <c r="K19" s="104" t="n"/>
      <c r="L19" s="104" t="n"/>
      <c r="M19" s="104" t="n"/>
      <c r="N19" s="104" t="n"/>
      <c r="O19" s="104" t="n"/>
      <c r="P19" s="104" t="n"/>
      <c r="Q19" s="104" t="n"/>
      <c r="R19" s="104" t="n"/>
    </row>
    <row r="20">
      <c r="D20" s="12" t="inlineStr">
        <is>
          <t>Share of 40-page books</t>
        </is>
      </c>
      <c r="E20" t="inlineStr">
        <is>
          <t>%</t>
        </is>
      </c>
      <c r="G20" s="34" t="n">
        <v>0.8</v>
      </c>
      <c r="H20" s="116">
        <f>G20</f>
        <v/>
      </c>
      <c r="I20" s="116" t="n">
        <v>0.8</v>
      </c>
      <c r="J20" s="116" t="n">
        <v>0.8</v>
      </c>
      <c r="K20" s="116" t="n">
        <v>0.8</v>
      </c>
      <c r="L20" s="116" t="n">
        <v>0.7</v>
      </c>
      <c r="M20" s="116" t="n">
        <v>0.7</v>
      </c>
      <c r="N20" s="116" t="n">
        <v>0.7</v>
      </c>
      <c r="O20" s="116" t="n">
        <v>0.6</v>
      </c>
      <c r="P20" s="116" t="n">
        <v>0.6</v>
      </c>
      <c r="Q20" s="116" t="n">
        <v>0.6</v>
      </c>
      <c r="R20" s="116" t="n">
        <v>0.6</v>
      </c>
    </row>
    <row r="21">
      <c r="D21" s="12" t="inlineStr">
        <is>
          <t>Share of 80-page books</t>
        </is>
      </c>
      <c r="E21" t="inlineStr">
        <is>
          <t>%</t>
        </is>
      </c>
      <c r="G21" s="116">
        <f>1-G20</f>
        <v/>
      </c>
      <c r="H21" s="116">
        <f>1-H20</f>
        <v/>
      </c>
      <c r="I21" s="116">
        <f>1-I20</f>
        <v/>
      </c>
      <c r="J21" s="116">
        <f>1-J20</f>
        <v/>
      </c>
      <c r="K21" s="116">
        <f>1-K20</f>
        <v/>
      </c>
      <c r="L21" s="116">
        <f>1-L20</f>
        <v/>
      </c>
      <c r="M21" s="116">
        <f>1-M20</f>
        <v/>
      </c>
      <c r="N21" s="116">
        <f>1-N20</f>
        <v/>
      </c>
      <c r="O21" s="116">
        <f>1-O20</f>
        <v/>
      </c>
      <c r="P21" s="116">
        <f>1-P20</f>
        <v/>
      </c>
      <c r="Q21" s="116">
        <f>1-Q20</f>
        <v/>
      </c>
      <c r="R21" s="116">
        <f>1-R20</f>
        <v/>
      </c>
    </row>
    <row r="22">
      <c r="D22" s="18" t="n"/>
      <c r="I22" s="104" t="n"/>
      <c r="J22" s="104" t="n"/>
      <c r="K22" s="104" t="n"/>
      <c r="L22" s="104" t="n"/>
      <c r="M22" s="104" t="n"/>
      <c r="N22" s="104" t="n"/>
      <c r="O22" s="104" t="n"/>
      <c r="P22" s="104" t="n"/>
      <c r="Q22" s="104" t="n"/>
      <c r="R22" s="104" t="n"/>
    </row>
    <row r="23">
      <c r="D23" s="18" t="inlineStr">
        <is>
          <t>Price 40-page book (excl. VAT)</t>
        </is>
      </c>
      <c r="E23" s="12" t="inlineStr">
        <is>
          <t>EUR</t>
        </is>
      </c>
      <c r="G23" s="164">
        <f>G24/(1+Assumptions!$F$12)</f>
        <v/>
      </c>
      <c r="H23" s="164">
        <f>H24/(1+Assumptions!$F$12)</f>
        <v/>
      </c>
      <c r="I23" s="164">
        <f>I24/(1+Assumptions!$F$12)</f>
        <v/>
      </c>
      <c r="J23" s="164">
        <f>J24/(1+Assumptions!$F$12)</f>
        <v/>
      </c>
      <c r="K23" s="164">
        <f>K24/(1+Assumptions!$F$12)</f>
        <v/>
      </c>
      <c r="L23" s="164">
        <f>L24/(1+Assumptions!$F$12)</f>
        <v/>
      </c>
      <c r="M23" s="164">
        <f>M24/(1+Assumptions!$F$12)</f>
        <v/>
      </c>
      <c r="N23" s="164">
        <f>N24/(1+Assumptions!$F$12)</f>
        <v/>
      </c>
      <c r="O23" s="164">
        <f>O24/(1+Assumptions!$F$12)</f>
        <v/>
      </c>
      <c r="P23" s="164">
        <f>P24/(1+Assumptions!$F$12)</f>
        <v/>
      </c>
      <c r="Q23" s="164">
        <f>Q24/(1+Assumptions!$F$12)</f>
        <v/>
      </c>
      <c r="R23" s="164">
        <f>R24/(1+Assumptions!$F$12)</f>
        <v/>
      </c>
    </row>
    <row r="24">
      <c r="D24" s="18" t="inlineStr">
        <is>
          <t>Price 40-page book (incl. VAT)</t>
        </is>
      </c>
      <c r="E24" s="12" t="inlineStr">
        <is>
          <t>EUR</t>
        </is>
      </c>
      <c r="G24" s="12" t="n">
        <v>70</v>
      </c>
      <c r="H24" s="64">
        <f>G24</f>
        <v/>
      </c>
      <c r="I24" s="64">
        <f>H24</f>
        <v/>
      </c>
      <c r="J24" s="64">
        <f>I24</f>
        <v/>
      </c>
      <c r="K24" s="64">
        <f>J24</f>
        <v/>
      </c>
      <c r="L24" s="64">
        <f>K24</f>
        <v/>
      </c>
      <c r="M24" s="64">
        <f>L24</f>
        <v/>
      </c>
      <c r="N24" s="64">
        <f>M24</f>
        <v/>
      </c>
      <c r="O24" s="64">
        <f>N24</f>
        <v/>
      </c>
      <c r="P24" s="64">
        <f>O24</f>
        <v/>
      </c>
      <c r="Q24" s="64">
        <f>P24</f>
        <v/>
      </c>
      <c r="R24" s="64">
        <f>Q24</f>
        <v/>
      </c>
    </row>
    <row r="25">
      <c r="D25" s="18" t="inlineStr">
        <is>
          <t>Price 80-page book (excl. VAT)</t>
        </is>
      </c>
      <c r="E25" s="12" t="inlineStr">
        <is>
          <t>EUR</t>
        </is>
      </c>
      <c r="G25" s="164">
        <f>G26/(1+Assumptions!$F$12)</f>
        <v/>
      </c>
      <c r="H25" s="164">
        <f>H26/(1+Assumptions!$F$12)</f>
        <v/>
      </c>
      <c r="I25" s="164">
        <f>I26/(1+Assumptions!$F$12)</f>
        <v/>
      </c>
      <c r="J25" s="164">
        <f>J26/(1+Assumptions!$F$12)</f>
        <v/>
      </c>
      <c r="K25" s="164">
        <f>K26/(1+Assumptions!$F$12)</f>
        <v/>
      </c>
      <c r="L25" s="164">
        <f>L26/(1+Assumptions!$F$12)</f>
        <v/>
      </c>
      <c r="M25" s="164">
        <f>M26/(1+Assumptions!$F$12)</f>
        <v/>
      </c>
      <c r="N25" s="164">
        <f>N26/(1+Assumptions!$F$12)</f>
        <v/>
      </c>
      <c r="O25" s="164">
        <f>O26/(1+Assumptions!$F$12)</f>
        <v/>
      </c>
      <c r="P25" s="164">
        <f>P26/(1+Assumptions!$F$12)</f>
        <v/>
      </c>
      <c r="Q25" s="164">
        <f>Q26/(1+Assumptions!$F$12)</f>
        <v/>
      </c>
      <c r="R25" s="164">
        <f>R26/(1+Assumptions!$F$12)</f>
        <v/>
      </c>
    </row>
    <row r="26">
      <c r="D26" s="18" t="inlineStr">
        <is>
          <t>Price 80-page book (incl. VAT)</t>
        </is>
      </c>
      <c r="E26" s="12" t="inlineStr">
        <is>
          <t>EUR</t>
        </is>
      </c>
      <c r="G26" s="12" t="n">
        <v>100</v>
      </c>
      <c r="H26" s="64">
        <f>G26</f>
        <v/>
      </c>
      <c r="I26" s="64">
        <f>H26</f>
        <v/>
      </c>
      <c r="J26" s="64">
        <f>I26</f>
        <v/>
      </c>
      <c r="K26" s="64">
        <f>J26</f>
        <v/>
      </c>
      <c r="L26" s="64">
        <f>K26</f>
        <v/>
      </c>
      <c r="M26" s="64">
        <f>L26</f>
        <v/>
      </c>
      <c r="N26" s="64">
        <f>M26</f>
        <v/>
      </c>
      <c r="O26" s="64">
        <f>N26</f>
        <v/>
      </c>
      <c r="P26" s="64">
        <f>O26</f>
        <v/>
      </c>
      <c r="Q26" s="64">
        <f>P26</f>
        <v/>
      </c>
      <c r="R26" s="64">
        <f>Q26</f>
        <v/>
      </c>
    </row>
    <row r="27">
      <c r="D27" s="18" t="n"/>
      <c r="I27" s="104" t="n"/>
      <c r="J27" s="104" t="n"/>
      <c r="K27" s="104" t="n"/>
      <c r="L27" s="104" t="n"/>
      <c r="M27" s="104" t="n"/>
      <c r="N27" s="104" t="n"/>
      <c r="O27" s="104" t="n"/>
      <c r="P27" s="104" t="n"/>
      <c r="Q27" s="104" t="n"/>
      <c r="R27" s="104" t="n"/>
    </row>
    <row r="28">
      <c r="D28" s="18" t="n"/>
      <c r="I28" s="104" t="n"/>
      <c r="J28" s="104" t="n"/>
      <c r="K28" s="104" t="n"/>
      <c r="L28" s="104" t="n"/>
      <c r="M28" s="104" t="n"/>
      <c r="N28" s="104" t="n"/>
      <c r="O28" s="104" t="n"/>
      <c r="P28" s="104" t="n"/>
      <c r="Q28" s="104" t="n"/>
      <c r="R28" s="104" t="n"/>
    </row>
    <row r="29">
      <c r="D29" s="12" t="inlineStr">
        <is>
          <t>Average check B2C (excl VAT)</t>
        </is>
      </c>
      <c r="E29" s="12" t="inlineStr">
        <is>
          <t>EUR</t>
        </is>
      </c>
      <c r="G29" s="162">
        <f>G23*G20+G25*G21</f>
        <v/>
      </c>
      <c r="H29" s="162">
        <f>H23*H20+H25*H21</f>
        <v/>
      </c>
      <c r="I29" s="162">
        <f>I23*I20+I25*I21</f>
        <v/>
      </c>
      <c r="J29" s="162">
        <f>J23*J20+J25*J21</f>
        <v/>
      </c>
      <c r="K29" s="162">
        <f>K23*K20+K25*K21</f>
        <v/>
      </c>
      <c r="L29" s="162">
        <f>L23*L20+L25*L21</f>
        <v/>
      </c>
      <c r="M29" s="162">
        <f>M23*M20+M25*M21</f>
        <v/>
      </c>
      <c r="N29" s="162">
        <f>N23*N20+N25*N21</f>
        <v/>
      </c>
      <c r="O29" s="162">
        <f>O23*O20+O25*O21</f>
        <v/>
      </c>
      <c r="P29" s="162">
        <f>P23*P20+P25*P21</f>
        <v/>
      </c>
      <c r="Q29" s="162">
        <f>Q23*Q20+Q25*Q21</f>
        <v/>
      </c>
      <c r="R29" s="162">
        <f>R23*R20+R25*R21</f>
        <v/>
      </c>
    </row>
    <row r="30">
      <c r="D30" s="12" t="inlineStr">
        <is>
          <t>Average check B2C (with VAT)</t>
        </is>
      </c>
      <c r="E30" s="12" t="inlineStr">
        <is>
          <t>EUR</t>
        </is>
      </c>
      <c r="G30" s="164">
        <f>G29*(1+Assumptions!$F$12)</f>
        <v/>
      </c>
      <c r="H30" s="164">
        <f>H29*(1+Assumptions!$F$12)</f>
        <v/>
      </c>
      <c r="I30" s="164">
        <f>I29*(1+Assumptions!$F$12)</f>
        <v/>
      </c>
      <c r="J30" s="164">
        <f>J29*(1+Assumptions!$F$12)</f>
        <v/>
      </c>
      <c r="K30" s="164">
        <f>K29*(1+Assumptions!$F$12)</f>
        <v/>
      </c>
      <c r="L30" s="164">
        <f>L29*(1+Assumptions!$F$12)</f>
        <v/>
      </c>
      <c r="M30" s="164">
        <f>M29*(1+Assumptions!$F$12)</f>
        <v/>
      </c>
      <c r="N30" s="164">
        <f>N29*(1+Assumptions!$F$12)</f>
        <v/>
      </c>
      <c r="O30" s="164">
        <f>O29*(1+Assumptions!$F$12)</f>
        <v/>
      </c>
      <c r="P30" s="164">
        <f>P29*(1+Assumptions!$F$12)</f>
        <v/>
      </c>
      <c r="Q30" s="164">
        <f>Q29*(1+Assumptions!$F$12)</f>
        <v/>
      </c>
      <c r="R30" s="164">
        <f>R29*(1+Assumptions!$F$12)</f>
        <v/>
      </c>
    </row>
    <row r="31">
      <c r="D31" s="12" t="inlineStr">
        <is>
          <t>Average check B2B (excl VAT)</t>
        </is>
      </c>
      <c r="E31" s="12" t="inlineStr">
        <is>
          <t>EUR</t>
        </is>
      </c>
      <c r="G31" s="162" t="n">
        <v>0</v>
      </c>
      <c r="H31" s="162" t="n">
        <v>0</v>
      </c>
      <c r="I31" s="162" t="n">
        <v>0</v>
      </c>
      <c r="J31" s="163">
        <f t="array" ref="J31">J29*(1+INDEX(Assumptions!$F$83:$I$83,,MATCH(J$8,Assumptions!$F$82:$I$82)))</f>
        <v/>
      </c>
      <c r="K31" s="163">
        <f t="array" ref="K31">K29*(1+INDEX(Assumptions!$F$83:$I$83,,MATCH(K$8,Assumptions!$F$82:$I$82)))</f>
        <v/>
      </c>
      <c r="L31" s="163">
        <f t="array" ref="L31">L29*(1+INDEX(Assumptions!$F$83:$I$83,,MATCH(L$8,Assumptions!$F$82:$I$82)))</f>
        <v/>
      </c>
      <c r="M31" s="163">
        <f t="array" ref="M31">M29*(1+INDEX(Assumptions!$F$83:$I$83,,MATCH(M$8,Assumptions!$F$82:$I$82)))</f>
        <v/>
      </c>
      <c r="N31" s="163">
        <f t="array" ref="N31">N29*(1+INDEX(Assumptions!$F$83:$I$83,,MATCH(N$8,Assumptions!$F$82:$I$82)))</f>
        <v/>
      </c>
      <c r="O31" s="163">
        <f t="array" ref="O31">O29*(1+INDEX(Assumptions!$F$83:$I$83,,MATCH(O$8,Assumptions!$F$82:$I$82)))</f>
        <v/>
      </c>
      <c r="P31" s="163">
        <f t="array" ref="P31">P29*(1+INDEX(Assumptions!$F$83:$I$83,,MATCH(P$8,Assumptions!$F$82:$I$82)))</f>
        <v/>
      </c>
      <c r="Q31" s="163">
        <f t="array" ref="Q31">Q29*(1+INDEX(Assumptions!$F$83:$I$83,,MATCH(Q$8,Assumptions!$F$82:$I$82)))</f>
        <v/>
      </c>
      <c r="R31" s="163">
        <f t="array" ref="R31">R29*(1+INDEX(Assumptions!$F$83:$I$83,,MATCH(R$8,Assumptions!$F$82:$I$82)))</f>
        <v/>
      </c>
    </row>
    <row r="32">
      <c r="D32" s="12" t="inlineStr">
        <is>
          <t>Average check B2B (with VAT)</t>
        </is>
      </c>
      <c r="E32" s="12" t="inlineStr">
        <is>
          <t>EUR</t>
        </is>
      </c>
      <c r="G32" s="71">
        <f>G31*(1+Assumptions!$F$12)</f>
        <v/>
      </c>
      <c r="H32" s="71">
        <f>H31*(1+Assumptions!$F$12)</f>
        <v/>
      </c>
      <c r="I32" s="71">
        <f>I31*(1+Assumptions!$F$12)</f>
        <v/>
      </c>
      <c r="J32" s="165">
        <f>J31*(1+Assumptions!$F$12)</f>
        <v/>
      </c>
      <c r="K32" s="165">
        <f>K31*(1+Assumptions!$F$12)</f>
        <v/>
      </c>
      <c r="L32" s="165">
        <f>L31*(1+Assumptions!$F$12)</f>
        <v/>
      </c>
      <c r="M32" s="165">
        <f>M31*(1+Assumptions!$F$12)</f>
        <v/>
      </c>
      <c r="N32" s="165">
        <f>N31*(1+Assumptions!$F$12)</f>
        <v/>
      </c>
      <c r="O32" s="165">
        <f>O31*(1+Assumptions!$F$12)</f>
        <v/>
      </c>
      <c r="P32" s="165">
        <f>P31*(1+Assumptions!$F$12)</f>
        <v/>
      </c>
      <c r="Q32" s="165">
        <f>Q31*(1+Assumptions!$F$12)</f>
        <v/>
      </c>
      <c r="R32" s="165">
        <f>R31*(1+Assumptions!$F$12)</f>
        <v/>
      </c>
    </row>
    <row r="34">
      <c r="D34" s="17" t="inlineStr">
        <is>
          <t>Sales</t>
        </is>
      </c>
      <c r="E34" s="17" t="n"/>
      <c r="F34" s="17" t="n"/>
      <c r="G34" s="17" t="n"/>
      <c r="H34" s="17" t="n"/>
      <c r="I34" s="190">
        <f>I35+I36</f>
        <v/>
      </c>
      <c r="J34" s="190">
        <f>J35+J36</f>
        <v/>
      </c>
      <c r="K34" s="190">
        <f>K35+K36</f>
        <v/>
      </c>
      <c r="L34" s="190">
        <f>L35+L36</f>
        <v/>
      </c>
      <c r="M34" s="190">
        <f>M35+M36</f>
        <v/>
      </c>
      <c r="N34" s="190">
        <f>N35+N36</f>
        <v/>
      </c>
      <c r="O34" s="190">
        <f>O35+O36</f>
        <v/>
      </c>
      <c r="P34" s="190">
        <f>P35+P36</f>
        <v/>
      </c>
      <c r="Q34" s="190">
        <f>Q35+Q36</f>
        <v/>
      </c>
      <c r="R34" s="190">
        <f>R35+R36</f>
        <v/>
      </c>
    </row>
    <row r="35">
      <c r="D35" s="18" t="inlineStr">
        <is>
          <t>B2C</t>
        </is>
      </c>
      <c r="E35" s="12" t="inlineStr">
        <is>
          <t>EUR</t>
        </is>
      </c>
      <c r="I35" s="71">
        <f>I17*I29</f>
        <v/>
      </c>
      <c r="J35" s="71">
        <f>J17*J29</f>
        <v/>
      </c>
      <c r="K35" s="71">
        <f>K17*K29</f>
        <v/>
      </c>
      <c r="L35" s="71">
        <f>L17*L29</f>
        <v/>
      </c>
      <c r="M35" s="71">
        <f>M17*M29</f>
        <v/>
      </c>
      <c r="N35" s="71">
        <f>N17*N29</f>
        <v/>
      </c>
      <c r="O35" s="71">
        <f>O17*O29</f>
        <v/>
      </c>
      <c r="P35" s="71">
        <f>P17*P29</f>
        <v/>
      </c>
      <c r="Q35" s="71">
        <f>Q17*Q29</f>
        <v/>
      </c>
      <c r="R35" s="71">
        <f>R17*R29</f>
        <v/>
      </c>
    </row>
    <row r="36">
      <c r="D36" s="18" t="inlineStr">
        <is>
          <t>B2B</t>
        </is>
      </c>
      <c r="E36" s="12" t="inlineStr">
        <is>
          <t>EUR</t>
        </is>
      </c>
      <c r="I36" s="71">
        <f>I18*I30</f>
        <v/>
      </c>
      <c r="J36" s="71">
        <f>J18*J30</f>
        <v/>
      </c>
      <c r="K36" s="71">
        <f>K18*K30</f>
        <v/>
      </c>
      <c r="L36" s="71">
        <f>L18*L30</f>
        <v/>
      </c>
      <c r="M36" s="71">
        <f>M18*M30</f>
        <v/>
      </c>
      <c r="N36" s="71">
        <f>N18*N30</f>
        <v/>
      </c>
      <c r="O36" s="71">
        <f>O18*O30</f>
        <v/>
      </c>
      <c r="P36" s="71">
        <f>P18*P30</f>
        <v/>
      </c>
      <c r="Q36" s="71">
        <f>Q18*Q30</f>
        <v/>
      </c>
      <c r="R36" s="71">
        <f>R18*R30</f>
        <v/>
      </c>
    </row>
    <row r="37">
      <c r="D37" s="12" t="inlineStr">
        <is>
          <t>Defect %</t>
        </is>
      </c>
      <c r="I37" s="34" t="n">
        <v>0</v>
      </c>
      <c r="J37" s="116">
        <f>I37</f>
        <v/>
      </c>
      <c r="K37" s="116">
        <f>J37</f>
        <v/>
      </c>
      <c r="L37" s="116">
        <f>K37</f>
        <v/>
      </c>
      <c r="M37" s="116">
        <f>L37</f>
        <v/>
      </c>
      <c r="N37" s="116">
        <f>M37</f>
        <v/>
      </c>
      <c r="O37" s="116">
        <f>N37</f>
        <v/>
      </c>
      <c r="P37" s="116">
        <f>O37</f>
        <v/>
      </c>
      <c r="Q37" s="116">
        <f>P37</f>
        <v/>
      </c>
      <c r="R37" s="116">
        <f>Q37</f>
        <v/>
      </c>
      <c r="T37" t="inlineStr">
        <is>
          <t>Assumed as 0% as printing provider will pay for any defect</t>
        </is>
      </c>
    </row>
    <row r="38">
      <c r="D38" s="12" t="inlineStr">
        <is>
          <t>Net sales</t>
        </is>
      </c>
      <c r="I38" s="191">
        <f>I34*(1-I37)</f>
        <v/>
      </c>
      <c r="J38" s="191">
        <f>J34*(1-J37)</f>
        <v/>
      </c>
      <c r="K38" s="191">
        <f>K34*(1-K37)</f>
        <v/>
      </c>
      <c r="L38" s="191">
        <f>L34*(1-L37)</f>
        <v/>
      </c>
      <c r="M38" s="191">
        <f>M34*(1-M37)</f>
        <v/>
      </c>
      <c r="N38" s="191">
        <f>N34*(1-N37)</f>
        <v/>
      </c>
      <c r="O38" s="191">
        <f>O34*(1-O37)</f>
        <v/>
      </c>
      <c r="P38" s="191">
        <f>P34*(1-P37)</f>
        <v/>
      </c>
      <c r="Q38" s="191">
        <f>Q34*(1-Q37)</f>
        <v/>
      </c>
      <c r="R38" s="191">
        <f>R34*(1-R37)</f>
        <v/>
      </c>
    </row>
    <row r="40" customFormat="1" s="119">
      <c r="A40" s="117" t="n"/>
      <c r="B40" s="117" t="n"/>
      <c r="C40" s="117" t="n"/>
      <c r="D40" s="117" t="inlineStr">
        <is>
          <t>2nd Engine Revenue</t>
        </is>
      </c>
      <c r="E40" s="117" t="inlineStr">
        <is>
          <t>EUR</t>
        </is>
      </c>
      <c r="F40" s="117" t="n"/>
      <c r="G40" s="117" t="n">
        <v>23100</v>
      </c>
      <c r="H40" s="117" t="n">
        <v>18000</v>
      </c>
      <c r="I40" s="204" t="n">
        <v>12000</v>
      </c>
      <c r="J40" s="205" t="n">
        <v>12000</v>
      </c>
      <c r="K40" s="117" t="n"/>
      <c r="L40" s="117" t="n"/>
      <c r="M40" s="117" t="n"/>
      <c r="N40" s="117" t="n"/>
      <c r="O40" s="117" t="n"/>
      <c r="T40" s="119" t="inlineStr">
        <is>
          <t>Consulting revenue (not related to aevia)</t>
        </is>
      </c>
    </row>
    <row r="43">
      <c r="B43" s="15" t="n">
        <v>2</v>
      </c>
      <c r="D43" s="16" t="inlineStr">
        <is>
          <t>OPEX</t>
        </is>
      </c>
      <c r="O43" s="186" t="n"/>
    </row>
    <row r="45">
      <c r="D45" s="112" t="n"/>
      <c r="I45" s="113" t="n"/>
      <c r="J45" s="113" t="n"/>
      <c r="K45" s="113" t="n"/>
      <c r="L45" s="113" t="n"/>
      <c r="M45" s="113" t="n"/>
      <c r="N45" s="113" t="n"/>
      <c r="O45" s="113" t="n"/>
      <c r="P45" s="113" t="n"/>
      <c r="Q45" s="113" t="n"/>
      <c r="R45" s="113" t="n"/>
    </row>
    <row r="46">
      <c r="D46" s="112" t="inlineStr">
        <is>
          <t>Share of AT deliveries</t>
        </is>
      </c>
      <c r="E46" t="inlineStr">
        <is>
          <t>%</t>
        </is>
      </c>
      <c r="I46" s="67" t="n">
        <v>1</v>
      </c>
      <c r="J46" s="67" t="n">
        <v>1</v>
      </c>
      <c r="K46" s="67" t="n">
        <v>1</v>
      </c>
      <c r="L46" s="67" t="n">
        <v>1</v>
      </c>
      <c r="M46" s="67" t="n">
        <v>1</v>
      </c>
      <c r="N46" s="67" t="n">
        <v>1</v>
      </c>
      <c r="O46" s="67" t="n">
        <v>0.95</v>
      </c>
      <c r="P46" s="67" t="n">
        <v>0.9</v>
      </c>
      <c r="Q46" s="67" t="n">
        <v>0.8</v>
      </c>
      <c r="R46" s="67" t="n">
        <v>0.7</v>
      </c>
      <c r="T46" t="inlineStr">
        <is>
          <t>Dummy</t>
        </is>
      </c>
    </row>
    <row r="47">
      <c r="D47" s="115" t="inlineStr">
        <is>
          <t>Volume tier (Assumptions col #)</t>
        </is>
      </c>
      <c r="I47" s="114">
        <f>IFERROR(MATCH(I$13,Assumptions!$F$20:$N$20,1),1)</f>
        <v/>
      </c>
      <c r="J47" s="114">
        <f>IFERROR(MATCH(J$13,Assumptions!$F$20:$N$20,1),1)</f>
        <v/>
      </c>
      <c r="K47" s="114">
        <f>IFERROR(MATCH(K$13,Assumptions!$F$20:$N$20,1),1)</f>
        <v/>
      </c>
      <c r="L47" s="114">
        <f>IFERROR(MATCH(L$13,Assumptions!$F$20:$N$20,1),1)</f>
        <v/>
      </c>
      <c r="M47" s="114">
        <f>IFERROR(MATCH(M$13,Assumptions!$F$20:$N$20,1),1)</f>
        <v/>
      </c>
      <c r="N47" s="114">
        <f>IFERROR(MATCH(N$13,Assumptions!$F$20:$N$20,1),1)</f>
        <v/>
      </c>
      <c r="O47" s="114">
        <f>IFERROR(MATCH(O$13,Assumptions!$F$20:$N$20,1),1)</f>
        <v/>
      </c>
      <c r="P47" s="114">
        <f>IFERROR(MATCH(P$13,Assumptions!$F$20:$N$20,1),1)</f>
        <v/>
      </c>
      <c r="Q47" s="114">
        <f>IFERROR(MATCH(Q$13,Assumptions!$F$20:$N$20,1),1)</f>
        <v/>
      </c>
      <c r="R47" s="114">
        <f>IFERROR(MATCH(R$13,Assumptions!$F$20:$N$20,1),1)</f>
        <v/>
      </c>
    </row>
    <row r="48">
      <c r="D48" s="115" t="n"/>
      <c r="I48" s="114" t="n"/>
      <c r="J48" s="114" t="n"/>
      <c r="K48" s="114" t="n"/>
      <c r="L48" s="114" t="n"/>
      <c r="M48" s="114" t="n"/>
      <c r="N48" s="114" t="n"/>
      <c r="O48" s="114" t="n"/>
      <c r="P48" s="114" t="n"/>
      <c r="Q48" s="114" t="n"/>
      <c r="R48" s="114" t="n"/>
    </row>
    <row r="49">
      <c r="D49" s="17" t="inlineStr">
        <is>
          <t>COGS</t>
        </is>
      </c>
      <c r="G49" s="206" t="n">
        <v>0</v>
      </c>
      <c r="H49" s="206" t="n">
        <v>0</v>
      </c>
      <c r="I49" s="207">
        <f>SUM(I50:I55)</f>
        <v/>
      </c>
      <c r="J49" s="207">
        <f>SUM(J50:J55)</f>
        <v/>
      </c>
      <c r="K49" s="207">
        <f>SUM(K50:K55)</f>
        <v/>
      </c>
      <c r="L49" s="207">
        <f>SUM(L50:L55)</f>
        <v/>
      </c>
      <c r="M49" s="207">
        <f>SUM(M50:M55)</f>
        <v/>
      </c>
      <c r="N49" s="207">
        <f>SUM(N50:N55)</f>
        <v/>
      </c>
      <c r="O49" s="207">
        <f>SUM(O50:O55)</f>
        <v/>
      </c>
      <c r="P49" s="207">
        <f>SUM(P50:P55)</f>
        <v/>
      </c>
      <c r="Q49" s="207">
        <f>SUM(Q50:Q55)</f>
        <v/>
      </c>
      <c r="R49" s="207">
        <f>SUM(R50:R55)</f>
        <v/>
      </c>
    </row>
    <row r="50">
      <c r="D50" s="18" t="inlineStr">
        <is>
          <t>Printing</t>
        </is>
      </c>
      <c r="E50" s="19" t="n"/>
      <c r="F50" s="19" t="n"/>
      <c r="G50" s="206" t="n">
        <v>0</v>
      </c>
      <c r="H50" s="206" t="n">
        <v>0</v>
      </c>
      <c r="I50" s="164">
        <f t="array" ref="I50">-IFERROR((INDEX(CHOOSE($F$7,Assumptions!$F$24:$N$24,Assumptions!$F$37:$N$37),1,I$47)*(1-I$21)+INDEX(CHOOSE($F$7,Assumptions!$F$25:$N$25,Assumptions!$F$38:$N$38),1,I$47)*I$21)*I$15,0)</f>
        <v/>
      </c>
      <c r="J50" s="164">
        <f t="array" ref="J50">-IFERROR((INDEX(CHOOSE($F$7,Assumptions!$F$24:$N$24,Assumptions!$F$37:$N$37),1,J$47)*(1-J$21)+INDEX(CHOOSE($F$7,Assumptions!$F$25:$N$25,Assumptions!$F$38:$N$38),1,J$47)*J$21)*J$15,0)</f>
        <v/>
      </c>
      <c r="K50" s="164">
        <f t="array" ref="K50">-IFERROR((INDEX(CHOOSE($F$7,Assumptions!$F$24:$N$24,Assumptions!$F$37:$N$37),1,K$47)*(1-K$21)+INDEX(CHOOSE($F$7,Assumptions!$F$25:$N$25,Assumptions!$F$38:$N$38),1,K$47)*K$21)*K$15,0)</f>
        <v/>
      </c>
      <c r="L50" s="164">
        <f t="array" ref="L50">-IFERROR((INDEX(CHOOSE($F$7,Assumptions!$F$24:$N$24,Assumptions!$F$37:$N$37),1,L$47)*(1-L$21)+INDEX(CHOOSE($F$7,Assumptions!$F$25:$N$25,Assumptions!$F$38:$N$38),1,L$47)*L$21)*L$15,0)</f>
        <v/>
      </c>
      <c r="M50" s="164">
        <f t="array" ref="M50">-IFERROR((INDEX(CHOOSE($F$7,Assumptions!$F$24:$N$24,Assumptions!$F$37:$N$37),1,M$47)*(1-M$21)+INDEX(CHOOSE($F$7,Assumptions!$F$25:$N$25,Assumptions!$F$38:$N$38),1,M$47)*M$21)*M$15,0)</f>
        <v/>
      </c>
      <c r="N50" s="164">
        <f t="array" ref="N50">-IFERROR((INDEX(CHOOSE($F$7,Assumptions!$F$24:$N$24,Assumptions!$F$37:$N$37),1,N$47)*(1-N$21)+INDEX(CHOOSE($F$7,Assumptions!$F$25:$N$25,Assumptions!$F$38:$N$38),1,N$47)*N$21)*N$15,0)</f>
        <v/>
      </c>
      <c r="O50" s="164">
        <f t="array" ref="O50">-IFERROR((INDEX(CHOOSE($F$7,Assumptions!$F$24:$N$24,Assumptions!$F$37:$N$37),1,O$47)*(1-O$21)+INDEX(CHOOSE($F$7,Assumptions!$F$25:$N$25,Assumptions!$F$38:$N$38),1,O$47)*O$21)*O$15,0)</f>
        <v/>
      </c>
      <c r="P50" s="164">
        <f t="array" ref="P50">-IFERROR((INDEX(CHOOSE($F$7,Assumptions!$F$24:$N$24,Assumptions!$F$37:$N$37),1,P$47)*(1-P$21)+INDEX(CHOOSE($F$7,Assumptions!$F$25:$N$25,Assumptions!$F$38:$N$38),1,P$47)*P$21)*P$15,0)</f>
        <v/>
      </c>
      <c r="Q50" s="164">
        <f t="array" ref="Q50">-IFERROR((INDEX(CHOOSE($F$7,Assumptions!$F$24:$N$24,Assumptions!$F$37:$N$37),1,Q$47)*(1-Q$21)+INDEX(CHOOSE($F$7,Assumptions!$F$25:$N$25,Assumptions!$F$38:$N$38),1,Q$47)*Q$21)*Q$15,0)</f>
        <v/>
      </c>
      <c r="R50" s="164">
        <f t="array" ref="R50">-IFERROR((INDEX(CHOOSE($F$7,Assumptions!$F$24:$N$24,Assumptions!$F$37:$N$37),1,R$47)*(1-R$21)+INDEX(CHOOSE($F$7,Assumptions!$F$25:$N$25,Assumptions!$F$38:$N$38),1,R$47)*R$21)*R$15,0)</f>
        <v/>
      </c>
    </row>
    <row r="51">
      <c r="D51" s="18" t="inlineStr">
        <is>
          <t>Packaging</t>
        </is>
      </c>
      <c r="E51" s="19" t="n"/>
      <c r="F51" s="19" t="n"/>
      <c r="G51" s="206" t="n">
        <v>0</v>
      </c>
      <c r="H51" s="206" t="n">
        <v>0</v>
      </c>
      <c r="I51" s="164">
        <f t="array" ref="I51">-IFERROR(INDEX(CHOOSE($F$7,Assumptions!$F$26:$N$26,Assumptions!$F$39:$N$39),1,I$47)*I$15,0)</f>
        <v/>
      </c>
      <c r="J51" s="164">
        <f t="array" ref="J51">-IFERROR(INDEX(CHOOSE($F$7,Assumptions!$F$26:$N$26,Assumptions!$F$39:$N$39),1,J$47)*J$15,0)</f>
        <v/>
      </c>
      <c r="K51" s="164">
        <f t="array" ref="K51">-IFERROR(INDEX(CHOOSE($F$7,Assumptions!$F$26:$N$26,Assumptions!$F$39:$N$39),1,K$47)*K$15,0)</f>
        <v/>
      </c>
      <c r="L51" s="164">
        <f t="array" ref="L51">-IFERROR(INDEX(CHOOSE($F$7,Assumptions!$F$26:$N$26,Assumptions!$F$39:$N$39),1,L$47)*L$15,0)</f>
        <v/>
      </c>
      <c r="M51" s="164">
        <f t="array" ref="M51">-IFERROR(INDEX(CHOOSE($F$7,Assumptions!$F$26:$N$26,Assumptions!$F$39:$N$39),1,M$47)*M$15,0)</f>
        <v/>
      </c>
      <c r="N51" s="164">
        <f t="array" ref="N51">-IFERROR(INDEX(CHOOSE($F$7,Assumptions!$F$26:$N$26,Assumptions!$F$39:$N$39),1,N$47)*N$15,0)</f>
        <v/>
      </c>
      <c r="O51" s="164">
        <f t="array" ref="O51">-IFERROR(INDEX(CHOOSE($F$7,Assumptions!$F$26:$N$26,Assumptions!$F$39:$N$39),1,O$47)*O$15,0)</f>
        <v/>
      </c>
      <c r="P51" s="164">
        <f t="array" ref="P51">-IFERROR(INDEX(CHOOSE($F$7,Assumptions!$F$26:$N$26,Assumptions!$F$39:$N$39),1,P$47)*P$15,0)</f>
        <v/>
      </c>
      <c r="Q51" s="164">
        <f t="array" ref="Q51">-IFERROR(INDEX(CHOOSE($F$7,Assumptions!$F$26:$N$26,Assumptions!$F$39:$N$39),1,Q$47)*Q$15,0)</f>
        <v/>
      </c>
      <c r="R51" s="164">
        <f t="array" ref="R51">-IFERROR(INDEX(CHOOSE($F$7,Assumptions!$F$26:$N$26,Assumptions!$F$39:$N$39),1,R$47)*R$15,0)</f>
        <v/>
      </c>
    </row>
    <row r="52">
      <c r="D52" s="18" t="inlineStr">
        <is>
          <t>Cloud</t>
        </is>
      </c>
      <c r="E52" s="19" t="n"/>
      <c r="F52" s="19" t="n"/>
      <c r="G52" s="206" t="n">
        <v>0</v>
      </c>
      <c r="H52" s="206" t="n">
        <v>0</v>
      </c>
      <c r="I52" s="164">
        <f t="array" ref="I52">-IFERROR(INDEX(CHOOSE($F$7,Assumptions!$F$32:$N$32,Assumptions!$F$45:$N$45),1,I$47)*I$15,0)</f>
        <v/>
      </c>
      <c r="J52" s="164">
        <f t="array" ref="J52">-IFERROR(INDEX(CHOOSE($F$7,Assumptions!$F$32:$N$32,Assumptions!$F$45:$N$45),1,J$47)*J$15,0)</f>
        <v/>
      </c>
      <c r="K52" s="164">
        <f t="array" ref="K52">-IFERROR(INDEX(CHOOSE($F$7,Assumptions!$F$32:$N$32,Assumptions!$F$45:$N$45),1,K$47)*K$15,0)</f>
        <v/>
      </c>
      <c r="L52" s="164">
        <f t="array" ref="L52">-IFERROR(INDEX(CHOOSE($F$7,Assumptions!$F$32:$N$32,Assumptions!$F$45:$N$45),1,L$47)*L$15,0)</f>
        <v/>
      </c>
      <c r="M52" s="164">
        <f t="array" ref="M52">-IFERROR(INDEX(CHOOSE($F$7,Assumptions!$F$32:$N$32,Assumptions!$F$45:$N$45),1,M$47)*M$15,0)</f>
        <v/>
      </c>
      <c r="N52" s="164">
        <f t="array" ref="N52">-IFERROR(INDEX(CHOOSE($F$7,Assumptions!$F$32:$N$32,Assumptions!$F$45:$N$45),1,N$47)*N$15,0)</f>
        <v/>
      </c>
      <c r="O52" s="164">
        <f t="array" ref="O52">-IFERROR(INDEX(CHOOSE($F$7,Assumptions!$F$32:$N$32,Assumptions!$F$45:$N$45),1,O$47)*O$15,0)</f>
        <v/>
      </c>
      <c r="P52" s="164">
        <f t="array" ref="P52">-IFERROR(INDEX(CHOOSE($F$7,Assumptions!$F$32:$N$32,Assumptions!$F$45:$N$45),1,P$47)*P$15,0)</f>
        <v/>
      </c>
      <c r="Q52" s="164">
        <f t="array" ref="Q52">-IFERROR(INDEX(CHOOSE($F$7,Assumptions!$F$32:$N$32,Assumptions!$F$45:$N$45),1,Q$47)*Q$15,0)</f>
        <v/>
      </c>
      <c r="R52" s="164">
        <f t="array" ref="R52">-IFERROR(INDEX(CHOOSE($F$7,Assumptions!$F$32:$N$32,Assumptions!$F$45:$N$45),1,R$47)*R$15,0)</f>
        <v/>
      </c>
    </row>
    <row r="53">
      <c r="D53" s="18" t="inlineStr">
        <is>
          <t>Delivery</t>
        </is>
      </c>
      <c r="E53" s="19" t="n"/>
      <c r="F53" s="19" t="n"/>
      <c r="G53" s="206" t="n">
        <v>0</v>
      </c>
      <c r="H53" s="206" t="n">
        <v>0</v>
      </c>
      <c r="I53" s="164">
        <f>-IFERROR((INDEX(CHOOSE($F$7,Assumptions!$F$30:$N$30,Assumptions!$F$43:$N$43),1,I$47)*I$46+INDEX(CHOOSE($F$7,Assumptions!$F$31:$N$31,Assumptions!$F$44:$N$44),1,I$47)*(1-I$46))*I$15,0)+Assumptions!$F$114*I$15</f>
        <v/>
      </c>
      <c r="J53" s="164">
        <f>-IFERROR((INDEX(CHOOSE($F$7,Assumptions!$F$30:$N$30,Assumptions!$F$43:$N$43),1,J$47)*J$46+INDEX(CHOOSE($F$7,Assumptions!$F$31:$N$31,Assumptions!$F$44:$N$44),1,J$47)*(1-J$46))*J$15,0)+Assumptions!$F$114*J$15</f>
        <v/>
      </c>
      <c r="K53" s="164">
        <f>-IFERROR((INDEX(CHOOSE($F$7,Assumptions!$F$30:$N$30,Assumptions!$F$43:$N$43),1,K$47)*K$46+INDEX(CHOOSE($F$7,Assumptions!$F$31:$N$31,Assumptions!$F$44:$N$44),1,K$47)*(1-K$46))*K$15,0)+Assumptions!$F$114*K$15</f>
        <v/>
      </c>
      <c r="L53" s="164">
        <f>-IFERROR((INDEX(CHOOSE($F$7,Assumptions!$F$30:$N$30,Assumptions!$F$43:$N$43),1,L$47)*L$46+INDEX(CHOOSE($F$7,Assumptions!$F$31:$N$31,Assumptions!$F$44:$N$44),1,L$47)*(1-L$46))*L$15,0)+Assumptions!$F$114*L$15</f>
        <v/>
      </c>
      <c r="M53" s="164">
        <f>-IFERROR((INDEX(CHOOSE($F$7,Assumptions!$F$30:$N$30,Assumptions!$F$43:$N$43),1,M$47)*M$46+INDEX(CHOOSE($F$7,Assumptions!$F$31:$N$31,Assumptions!$F$44:$N$44),1,M$47)*(1-M$46))*M$15,0)+Assumptions!$F$114*M$15</f>
        <v/>
      </c>
      <c r="N53" s="164">
        <f>-IFERROR((INDEX(CHOOSE($F$7,Assumptions!$F$30:$N$30,Assumptions!$F$43:$N$43),1,N$47)*N$46+INDEX(CHOOSE($F$7,Assumptions!$F$31:$N$31,Assumptions!$F$44:$N$44),1,N$47)*(1-N$46))*N$15,0)+Assumptions!$F$114*N$15</f>
        <v/>
      </c>
      <c r="O53" s="164">
        <f>-IFERROR((INDEX(CHOOSE($F$7,Assumptions!$F$30:$N$30,Assumptions!$F$43:$N$43),1,O$47)*O$46+INDEX(CHOOSE($F$7,Assumptions!$F$31:$N$31,Assumptions!$F$44:$N$44),1,O$47)*(1-O$46))*O$15,0)+Assumptions!$F$114*O$15</f>
        <v/>
      </c>
      <c r="P53" s="164">
        <f>-IFERROR((INDEX(CHOOSE($F$7,Assumptions!$F$30:$N$30,Assumptions!$F$43:$N$43),1,P$47)*P$46+INDEX(CHOOSE($F$7,Assumptions!$F$31:$N$31,Assumptions!$F$44:$N$44),1,P$47)*(1-P$46))*P$15,0)+Assumptions!$F$114*P$15</f>
        <v/>
      </c>
      <c r="Q53" s="164">
        <f>-IFERROR((INDEX(CHOOSE($F$7,Assumptions!$F$30:$N$30,Assumptions!$F$43:$N$43),1,Q$47)*Q$46+INDEX(CHOOSE($F$7,Assumptions!$F$31:$N$31,Assumptions!$F$44:$N$44),1,Q$47)*(1-Q$46))*Q$15,0)+Assumptions!$F$114*Q$15</f>
        <v/>
      </c>
      <c r="R53" s="164">
        <f>-IFERROR((INDEX(CHOOSE($F$7,Assumptions!$F$30:$N$30,Assumptions!$F$43:$N$43),1,R$47)*R$46+INDEX(CHOOSE($F$7,Assumptions!$F$31:$N$31,Assumptions!$F$44:$N$44),1,R$47)*(1-R$46))*R$15,0)+Assumptions!$F$114*R$15</f>
        <v/>
      </c>
      <c r="T53" t="inlineStr">
        <is>
          <t>Net of customer-paid delivery (Assumptions F114). Carrier cost minus 4.99 charged.</t>
        </is>
      </c>
    </row>
    <row r="54">
      <c r="D54" s="18" t="inlineStr">
        <is>
          <t>Royalty to artists</t>
        </is>
      </c>
      <c r="E54" s="19" t="n"/>
      <c r="F54" s="19" t="n"/>
      <c r="G54" s="206" t="n">
        <v>0</v>
      </c>
      <c r="H54" s="206" t="n">
        <v>0</v>
      </c>
      <c r="I54" s="164">
        <f>-I$34*I$63*Assumptions!$F$77</f>
        <v/>
      </c>
      <c r="J54" s="164">
        <f>-J$34*J$63*Assumptions!$F$77</f>
        <v/>
      </c>
      <c r="K54" s="164">
        <f>-K$34*K$63*Assumptions!$F$77</f>
        <v/>
      </c>
      <c r="L54" s="164">
        <f>-L$34*L$63*Assumptions!$F$77</f>
        <v/>
      </c>
      <c r="M54" s="164">
        <f>-M$34*M$63*Assumptions!$F$77</f>
        <v/>
      </c>
      <c r="N54" s="164">
        <f>-N$34*N$63*Assumptions!$F$77</f>
        <v/>
      </c>
      <c r="O54" s="164">
        <f>-O$34*O$63*Assumptions!$F$77</f>
        <v/>
      </c>
      <c r="P54" s="164">
        <f>-P$34*P$63*Assumptions!$F$77</f>
        <v/>
      </c>
      <c r="Q54" s="164">
        <f>-Q$34*Q$63*Assumptions!$F$77</f>
        <v/>
      </c>
      <c r="R54" s="164">
        <f>-R$34*R$63*Assumptions!$F$77</f>
        <v/>
      </c>
    </row>
    <row r="55">
      <c r="D55" s="18" t="inlineStr">
        <is>
          <t>Payment processing</t>
        </is>
      </c>
      <c r="E55" s="19" t="n"/>
      <c r="F55" s="19" t="n"/>
      <c r="G55" s="206" t="n">
        <v>0</v>
      </c>
      <c r="H55" s="206" t="n">
        <v>0</v>
      </c>
      <c r="I55" s="164" t="n"/>
      <c r="J55" s="164">
        <f>-J34*Assumptions!$F$60</f>
        <v/>
      </c>
      <c r="K55" s="164">
        <f>-K34*Assumptions!$F$60</f>
        <v/>
      </c>
      <c r="L55" s="164">
        <f>-L34*Assumptions!$F$60</f>
        <v/>
      </c>
      <c r="M55" s="164">
        <f>-M34*Assumptions!$F$60</f>
        <v/>
      </c>
      <c r="N55" s="164">
        <f>-N34*Assumptions!$F$60</f>
        <v/>
      </c>
      <c r="O55" s="164">
        <f>-O34*Assumptions!$F$60</f>
        <v/>
      </c>
      <c r="P55" s="164">
        <f>-P34*Assumptions!$F$60</f>
        <v/>
      </c>
      <c r="Q55" s="164">
        <f>-Q34*Assumptions!$F$60</f>
        <v/>
      </c>
      <c r="R55" s="164">
        <f>-R34*Assumptions!$F$60</f>
        <v/>
      </c>
    </row>
    <row r="58">
      <c r="D58" s="17" t="inlineStr">
        <is>
          <t>Design costs</t>
        </is>
      </c>
      <c r="H58" s="17" t="n">
        <v>-3000</v>
      </c>
      <c r="I58" s="17" t="n">
        <v>-400</v>
      </c>
      <c r="J58" s="167">
        <f>J$60*J$64</f>
        <v/>
      </c>
      <c r="K58" s="167">
        <f>K$60*K$64</f>
        <v/>
      </c>
      <c r="L58" s="167">
        <f>L$60*L$64</f>
        <v/>
      </c>
      <c r="M58" s="167">
        <f>M$60*M$64</f>
        <v/>
      </c>
      <c r="N58" s="167">
        <f>N$60*N$64</f>
        <v/>
      </c>
      <c r="O58" s="167">
        <f>O$60*O$64</f>
        <v/>
      </c>
      <c r="P58" s="167">
        <f>P$60*P$64</f>
        <v/>
      </c>
      <c r="Q58" s="167">
        <f>Q$60*Q$64</f>
        <v/>
      </c>
      <c r="R58" s="167">
        <f>R$60*R$64</f>
        <v/>
      </c>
    </row>
    <row r="59">
      <c r="D59" s="12" t="inlineStr">
        <is>
          <t>Number of templates (cum)</t>
        </is>
      </c>
      <c r="H59" s="12" t="n">
        <v>7</v>
      </c>
      <c r="I59" s="12" t="n">
        <v>8</v>
      </c>
      <c r="J59" s="12" t="n">
        <v>9</v>
      </c>
      <c r="K59" s="12" t="n">
        <v>10</v>
      </c>
      <c r="L59" s="161">
        <f>K59+2</f>
        <v/>
      </c>
      <c r="M59" s="161">
        <f>L59+2</f>
        <v/>
      </c>
      <c r="N59" s="161">
        <f>M59+2</f>
        <v/>
      </c>
      <c r="O59" s="161">
        <f>N59+2</f>
        <v/>
      </c>
      <c r="P59" s="161">
        <f>O59+2</f>
        <v/>
      </c>
      <c r="Q59" s="161">
        <f>P59+2</f>
        <v/>
      </c>
      <c r="R59" s="161">
        <f>Q59+2</f>
        <v/>
      </c>
    </row>
    <row r="60">
      <c r="D60" s="12" t="inlineStr">
        <is>
          <t>Number of templates (new)</t>
        </is>
      </c>
      <c r="I60" s="161">
        <f>I59-H59</f>
        <v/>
      </c>
      <c r="J60" s="161">
        <f>J59-I59</f>
        <v/>
      </c>
      <c r="K60" s="12">
        <f>K59-J59</f>
        <v/>
      </c>
      <c r="L60" s="161">
        <f>L59-K59</f>
        <v/>
      </c>
      <c r="M60" s="161">
        <f>M59-L59</f>
        <v/>
      </c>
      <c r="N60" s="161">
        <f>N59-M59</f>
        <v/>
      </c>
      <c r="O60" s="161">
        <f>O59-N59</f>
        <v/>
      </c>
      <c r="P60" s="161">
        <f>P59-O59</f>
        <v/>
      </c>
      <c r="Q60" s="161">
        <f>Q59-P59</f>
        <v/>
      </c>
      <c r="R60" s="161">
        <f>R59-Q59</f>
        <v/>
      </c>
    </row>
    <row r="61">
      <c r="D61" s="12" t="inlineStr">
        <is>
          <t># of templates with royalty model (cum)</t>
        </is>
      </c>
      <c r="I61" s="12" t="n">
        <v>1</v>
      </c>
      <c r="J61" s="12" t="n">
        <v>1</v>
      </c>
      <c r="K61" s="12" t="n">
        <v>2</v>
      </c>
      <c r="L61" s="161">
        <f>K61+(L59-K59)</f>
        <v/>
      </c>
      <c r="M61" s="161">
        <f>L61+(M59-L59)</f>
        <v/>
      </c>
      <c r="N61" s="161">
        <f>M61+(N59-M59)</f>
        <v/>
      </c>
      <c r="O61" s="161">
        <f>N61+(O59-N59)</f>
        <v/>
      </c>
      <c r="P61" s="161">
        <f>O61+(P59-O59)</f>
        <v/>
      </c>
      <c r="Q61" s="161">
        <f>P61+(Q59-P59)</f>
        <v/>
      </c>
      <c r="R61" s="161">
        <f>Q61+(R59-Q59)</f>
        <v/>
      </c>
    </row>
    <row r="62">
      <c r="D62" s="12" t="inlineStr">
        <is>
          <t># of templates with royalty model (new)</t>
        </is>
      </c>
      <c r="I62" s="161">
        <f>I61</f>
        <v/>
      </c>
      <c r="J62" s="161">
        <f>J61-I61</f>
        <v/>
      </c>
      <c r="K62" s="161">
        <f>K61-J61</f>
        <v/>
      </c>
      <c r="L62" s="161">
        <f>L61-K61</f>
        <v/>
      </c>
      <c r="M62" s="161">
        <f>M61-L61</f>
        <v/>
      </c>
      <c r="N62" s="161">
        <f>N61-M61</f>
        <v/>
      </c>
      <c r="O62" s="161">
        <f>O61-N61</f>
        <v/>
      </c>
      <c r="P62" s="161">
        <f>P61-O61</f>
        <v/>
      </c>
      <c r="Q62" s="161">
        <f>Q61-P61</f>
        <v/>
      </c>
      <c r="R62" s="161">
        <f>R61-Q61</f>
        <v/>
      </c>
    </row>
    <row r="63" customFormat="1" s="119">
      <c r="A63" s="117" t="n"/>
      <c r="B63" s="117" t="n"/>
      <c r="C63" s="117" t="n"/>
      <c r="D63" s="117" t="inlineStr">
        <is>
          <t>Share of templates with royalty model</t>
        </is>
      </c>
      <c r="E63" s="117" t="n"/>
      <c r="F63" s="117" t="n"/>
      <c r="G63" s="117" t="n"/>
      <c r="H63" s="117" t="n"/>
      <c r="I63" s="118">
        <f>I61/I59</f>
        <v/>
      </c>
      <c r="J63" s="118">
        <f>J61/J59</f>
        <v/>
      </c>
      <c r="K63" s="118">
        <f>K61/K59</f>
        <v/>
      </c>
      <c r="L63" s="118">
        <f>L61/L59</f>
        <v/>
      </c>
      <c r="M63" s="118">
        <f>M61/M59</f>
        <v/>
      </c>
      <c r="N63" s="118">
        <f>N61/N59</f>
        <v/>
      </c>
      <c r="O63" s="118">
        <f>O61/O59</f>
        <v/>
      </c>
      <c r="P63" s="118">
        <f>P61/P59</f>
        <v/>
      </c>
      <c r="Q63" s="118">
        <f>Q61/Q59</f>
        <v/>
      </c>
      <c r="R63" s="118">
        <f>R61/R59</f>
        <v/>
      </c>
    </row>
    <row r="64">
      <c r="D64" s="117" t="inlineStr">
        <is>
          <t>Average cost per template</t>
        </is>
      </c>
      <c r="E64" s="117" t="n"/>
      <c r="F64" s="117" t="n"/>
      <c r="G64" s="117" t="n"/>
      <c r="H64" s="117" t="n"/>
      <c r="I64" s="117">
        <f>(I58+H58)/I59</f>
        <v/>
      </c>
      <c r="J64" s="12">
        <f>I$64</f>
        <v/>
      </c>
      <c r="K64" s="12">
        <f>-Assumptions!$F$76</f>
        <v/>
      </c>
      <c r="L64" s="12">
        <f>-Assumptions!$F$76</f>
        <v/>
      </c>
      <c r="M64" s="12">
        <f>-Assumptions!$F$76</f>
        <v/>
      </c>
      <c r="N64" s="12">
        <f>-Assumptions!$F$76</f>
        <v/>
      </c>
      <c r="O64" s="12">
        <f>-Assumptions!$F$76</f>
        <v/>
      </c>
      <c r="P64" s="12">
        <f>-Assumptions!$F$76</f>
        <v/>
      </c>
      <c r="Q64" s="12">
        <f>-Assumptions!$F$76</f>
        <v/>
      </c>
      <c r="R64" s="12">
        <f>-Assumptions!$F$76</f>
        <v/>
      </c>
    </row>
    <row r="66">
      <c r="D66" s="17" t="inlineStr">
        <is>
          <t>Operations</t>
        </is>
      </c>
      <c r="G66" s="167">
        <f>G67+G68</f>
        <v/>
      </c>
      <c r="H66" s="167">
        <f>H67+H68</f>
        <v/>
      </c>
      <c r="I66" s="167">
        <f>I67+I68</f>
        <v/>
      </c>
      <c r="J66" s="167">
        <f>J67+J68</f>
        <v/>
      </c>
      <c r="K66" s="167">
        <f>K67+K68</f>
        <v/>
      </c>
      <c r="L66" s="167">
        <f>L67+L68</f>
        <v/>
      </c>
      <c r="M66" s="167">
        <f>M67+M68</f>
        <v/>
      </c>
      <c r="N66" s="167">
        <f>N67+N68</f>
        <v/>
      </c>
      <c r="O66" s="167">
        <f>O67+O68</f>
        <v/>
      </c>
      <c r="P66" s="167">
        <f>P67+P68</f>
        <v/>
      </c>
      <c r="Q66" s="167">
        <f>Q67+Q68</f>
        <v/>
      </c>
      <c r="R66" s="167">
        <f>R67+R68</f>
        <v/>
      </c>
    </row>
    <row r="67">
      <c r="D67" s="12" t="inlineStr">
        <is>
          <t>IT Licenses&amp;Subscrtiptions</t>
        </is>
      </c>
      <c r="E67" s="12" t="inlineStr">
        <is>
          <t>EUR</t>
        </is>
      </c>
      <c r="G67" s="12" t="n">
        <v>-268</v>
      </c>
      <c r="H67" s="12" t="n">
        <v>-376</v>
      </c>
      <c r="I67" s="12" t="n">
        <v>-400</v>
      </c>
      <c r="J67" s="12" t="n">
        <v>-500</v>
      </c>
      <c r="K67" s="12">
        <f>J67</f>
        <v/>
      </c>
      <c r="L67" s="12" t="n">
        <v>-800</v>
      </c>
      <c r="M67" s="12">
        <f>L67</f>
        <v/>
      </c>
      <c r="N67" s="12">
        <f>M67</f>
        <v/>
      </c>
      <c r="O67" s="12" t="n">
        <v>-1000</v>
      </c>
      <c r="P67" s="12">
        <f>O67</f>
        <v/>
      </c>
      <c r="Q67" s="12">
        <f>P67</f>
        <v/>
      </c>
      <c r="R67" s="12">
        <f>Q67</f>
        <v/>
      </c>
      <c r="T67" t="inlineStr">
        <is>
          <t>rough estimations, considering a lot of things would be automazed and AI costs might grow</t>
        </is>
      </c>
    </row>
    <row r="68">
      <c r="D68" s="12" t="inlineStr">
        <is>
          <t>API fee</t>
        </is>
      </c>
      <c r="E68" s="12" t="inlineStr">
        <is>
          <t>EUR</t>
        </is>
      </c>
      <c r="I68" s="12" t="n">
        <v>-1100</v>
      </c>
    </row>
    <row r="70">
      <c r="D70" s="17" t="inlineStr">
        <is>
          <t>Corporate overhead</t>
        </is>
      </c>
      <c r="G70" s="167">
        <f>SUM(G71:G77)</f>
        <v/>
      </c>
      <c r="H70" s="167">
        <f>SUM(H71:H77)</f>
        <v/>
      </c>
      <c r="I70" s="167">
        <f>SUM(I71:I77)</f>
        <v/>
      </c>
      <c r="J70" s="167">
        <f>SUM(J71:J77)</f>
        <v/>
      </c>
      <c r="K70" s="167">
        <f>SUM(K71:K77)</f>
        <v/>
      </c>
      <c r="L70" s="167">
        <f>SUM(L71:L77)</f>
        <v/>
      </c>
      <c r="M70" s="167">
        <f>SUM(M71:M77)</f>
        <v/>
      </c>
      <c r="N70" s="167">
        <f>SUM(N71:N77)</f>
        <v/>
      </c>
      <c r="O70" s="167">
        <f>SUM(O71:O77)</f>
        <v/>
      </c>
      <c r="P70" s="167">
        <f>SUM(P71:P77)</f>
        <v/>
      </c>
      <c r="Q70" s="167">
        <f>SUM(Q71:Q77)</f>
        <v/>
      </c>
      <c r="R70" s="167">
        <f>SUM(R71:R77)</f>
        <v/>
      </c>
    </row>
    <row r="71">
      <c r="D71" s="18" t="inlineStr">
        <is>
          <t>Company registration</t>
        </is>
      </c>
      <c r="E71" s="12" t="inlineStr">
        <is>
          <t>EUR</t>
        </is>
      </c>
      <c r="I71" s="12" t="n">
        <v>0</v>
      </c>
      <c r="J71" s="12" t="n">
        <v>-300</v>
      </c>
    </row>
    <row r="72">
      <c r="D72" s="18" t="inlineStr">
        <is>
          <t>Trademark registration</t>
        </is>
      </c>
      <c r="E72" s="12" t="inlineStr">
        <is>
          <t>EUR</t>
        </is>
      </c>
      <c r="H72" s="12" t="n">
        <v>-225</v>
      </c>
    </row>
    <row r="73">
      <c r="D73" s="18" t="inlineStr">
        <is>
          <t>Accountant</t>
        </is>
      </c>
      <c r="E73" s="12" t="inlineStr">
        <is>
          <t>EUR</t>
        </is>
      </c>
      <c r="H73" s="12" t="n">
        <v>-295.2</v>
      </c>
      <c r="I73" s="12" t="n">
        <v>-1231</v>
      </c>
      <c r="J73" s="12" t="n">
        <v>-250</v>
      </c>
      <c r="K73" s="12" t="n">
        <v>-250</v>
      </c>
      <c r="L73" s="12" t="n">
        <v>-250</v>
      </c>
      <c r="M73" s="12" t="n">
        <v>-1500</v>
      </c>
      <c r="N73" s="12" t="n">
        <v>-250</v>
      </c>
      <c r="O73" s="12" t="n">
        <v>-250</v>
      </c>
      <c r="P73" s="12" t="n">
        <v>-250</v>
      </c>
    </row>
    <row r="74">
      <c r="D74" s="18" t="inlineStr">
        <is>
          <t>Business address</t>
        </is>
      </c>
      <c r="E74" s="12" t="inlineStr">
        <is>
          <t>EUR</t>
        </is>
      </c>
      <c r="G74" s="12">
        <f>-720/4</f>
        <v/>
      </c>
      <c r="H74" s="12">
        <f>-720/4</f>
        <v/>
      </c>
      <c r="I74" s="12">
        <f>-720/4</f>
        <v/>
      </c>
      <c r="J74" s="12">
        <f>-720/4</f>
        <v/>
      </c>
      <c r="K74" s="12">
        <f>J74</f>
        <v/>
      </c>
      <c r="L74" s="12">
        <f>K74</f>
        <v/>
      </c>
      <c r="M74" s="12">
        <f>L74</f>
        <v/>
      </c>
      <c r="N74" s="12">
        <f>M74</f>
        <v/>
      </c>
      <c r="O74" s="12">
        <f>N74</f>
        <v/>
      </c>
      <c r="P74" s="12">
        <f>O74</f>
        <v/>
      </c>
      <c r="Q74" s="12">
        <f>P74</f>
        <v/>
      </c>
      <c r="R74" s="12">
        <f>Q74</f>
        <v/>
      </c>
    </row>
    <row r="75">
      <c r="D75" s="18" t="inlineStr">
        <is>
          <t>Office rent</t>
        </is>
      </c>
      <c r="E75" s="12" t="inlineStr">
        <is>
          <t>EUR</t>
        </is>
      </c>
      <c r="H75" s="12" t="n">
        <v>-492</v>
      </c>
      <c r="I75" s="12" t="n">
        <v>-150</v>
      </c>
      <c r="J75" s="12" t="n">
        <v>0</v>
      </c>
      <c r="K75" s="12" t="n">
        <v>0</v>
      </c>
      <c r="L75" s="12" t="n">
        <v>-600</v>
      </c>
      <c r="M75" s="12" t="n">
        <v>0</v>
      </c>
      <c r="N75" s="12" t="n">
        <v>0</v>
      </c>
      <c r="O75" s="12" t="n">
        <v>0</v>
      </c>
      <c r="P75" s="12" t="n">
        <v>0</v>
      </c>
      <c r="Q75" s="12" t="n">
        <v>0</v>
      </c>
      <c r="R75" s="12" t="n">
        <v>0</v>
      </c>
    </row>
    <row r="76">
      <c r="D76" s="18" t="inlineStr">
        <is>
          <t>Legal fees</t>
        </is>
      </c>
      <c r="E76" s="12" t="inlineStr">
        <is>
          <t>EUR</t>
        </is>
      </c>
      <c r="H76" s="12" t="n">
        <v>-132</v>
      </c>
    </row>
    <row r="77">
      <c r="D77" s="18" t="inlineStr">
        <is>
          <t>Other</t>
        </is>
      </c>
      <c r="E77" s="12" t="inlineStr">
        <is>
          <t>EUR</t>
        </is>
      </c>
      <c r="H77" s="12" t="n">
        <v>-65.8</v>
      </c>
    </row>
    <row r="79">
      <c r="D79" s="17" t="inlineStr">
        <is>
          <t>Salaries and social contributions</t>
        </is>
      </c>
      <c r="I79" s="208">
        <f>SUM(I80:I81)</f>
        <v/>
      </c>
      <c r="J79" s="208">
        <f>SUM(J80:J81)</f>
        <v/>
      </c>
      <c r="K79" s="208">
        <f>SUM(K80:K81)</f>
        <v/>
      </c>
      <c r="L79" s="208">
        <f>SUM(L80:L81)</f>
        <v/>
      </c>
      <c r="M79" s="208">
        <f>SUM(M80:M81)</f>
        <v/>
      </c>
      <c r="N79" s="208">
        <f>SUM(N80:N81)</f>
        <v/>
      </c>
      <c r="O79" s="209">
        <f>SUM(O80:O81)</f>
        <v/>
      </c>
      <c r="P79" s="210">
        <f>SUM(P80:P81)</f>
        <v/>
      </c>
      <c r="Q79" s="210">
        <f>SUM(Q80:Q81)</f>
        <v/>
      </c>
      <c r="R79" s="210">
        <f>SUM(R80:R81)</f>
        <v/>
      </c>
    </row>
    <row r="80">
      <c r="D80" s="18" t="inlineStr">
        <is>
          <t>Designer (part time/freelance)</t>
        </is>
      </c>
      <c r="E80" s="12" t="inlineStr">
        <is>
          <t>EUR</t>
        </is>
      </c>
      <c r="I80" s="211" t="n"/>
      <c r="J80" s="211" t="n"/>
      <c r="K80" s="211" t="n"/>
      <c r="L80" s="211" t="n"/>
      <c r="M80" s="211" t="n"/>
      <c r="N80" s="211" t="n"/>
      <c r="O80" s="212" t="n">
        <v>0</v>
      </c>
      <c r="P80" s="212" t="n">
        <v>0</v>
      </c>
      <c r="Q80" s="212" t="n">
        <v>0</v>
      </c>
      <c r="R80" s="212" t="n">
        <v>0</v>
      </c>
      <c r="T80" t="inlineStr">
        <is>
          <t>Deferred — cannot afford pre-scale (S148). Re-add when volume justifies.</t>
        </is>
      </c>
    </row>
    <row r="81">
      <c r="D81" s="12" t="inlineStr">
        <is>
          <t>SVS</t>
        </is>
      </c>
      <c r="E81" s="12" t="inlineStr">
        <is>
          <t>EUR</t>
        </is>
      </c>
      <c r="I81" s="213">
        <f>SUMIF('Tax &amp; Founder income'!$F$5:$H$5,I$8,'Tax &amp; Founder income'!$F$28:$H$28)/COUNTIF($I$8:$R$8,I$8)</f>
        <v/>
      </c>
      <c r="J81" s="213">
        <f>SUMIF('Tax &amp; Founder income'!$F$5:$H$5,J$8,'Tax &amp; Founder income'!$F$28:$H$28)/COUNTIF($I$8:$R$8,J$8)</f>
        <v/>
      </c>
      <c r="K81" s="214">
        <f>SUMIF('Tax &amp; Founder income'!$F$5:$H$5,K$8,'Tax &amp; Founder income'!$F$28:$H$28)/COUNTIF($I$8:$R$8,K$8)</f>
        <v/>
      </c>
      <c r="L81" s="214">
        <f>SUMIF('Tax &amp; Founder income'!$F$5:$H$5,L$8,'Tax &amp; Founder income'!$F$28:$H$28)/COUNTIF($I$8:$R$8,L$8)</f>
        <v/>
      </c>
      <c r="M81" s="214">
        <f>SUMIF('Tax &amp; Founder income'!$F$5:$H$5,M$8,'Tax &amp; Founder income'!$F$28:$H$28)/COUNTIF($I$8:$R$8,M$8)</f>
        <v/>
      </c>
      <c r="N81" s="214">
        <f>SUMIF('Tax &amp; Founder income'!$F$5:$H$5,N$8,'Tax &amp; Founder income'!$F$28:$H$28)/COUNTIF($I$8:$R$8,N$8)</f>
        <v/>
      </c>
      <c r="O81" s="214">
        <f>SUMIF('Tax &amp; Founder income'!$F$5:$H$5,O$8,'Tax &amp; Founder income'!$F$28:$H$28)/COUNTIF($I$8:$R$8,O$8)</f>
        <v/>
      </c>
      <c r="P81" s="214">
        <f>SUMIF('Tax &amp; Founder income'!$F$5:$H$5,P$8,'Tax &amp; Founder income'!$F$28:$H$28)/COUNTIF($I$8:$R$8,P$8)</f>
        <v/>
      </c>
      <c r="Q81" s="214">
        <f>SUMIF('Tax &amp; Founder income'!$F$5:$H$5,Q$8,'Tax &amp; Founder income'!$F$28:$H$28)/COUNTIF($I$8:$R$8,Q$8)</f>
        <v/>
      </c>
      <c r="R81" s="214">
        <f>SUMIF('Tax &amp; Founder income'!$F$5:$H$5,R$8,'Tax &amp; Founder income'!$F$28:$H$28)/COUNTIF($I$8:$R$8,R$8)</f>
        <v/>
      </c>
    </row>
    <row r="82">
      <c r="I82" s="213" t="n"/>
      <c r="J82" s="214" t="n"/>
      <c r="K82" s="214" t="n"/>
      <c r="L82" s="214" t="n"/>
      <c r="M82" s="214" t="n"/>
      <c r="N82" s="214" t="n"/>
      <c r="O82" s="214" t="n"/>
      <c r="P82" s="214" t="n"/>
      <c r="Q82" s="214" t="n"/>
      <c r="R82" s="214" t="n"/>
    </row>
    <row r="83">
      <c r="D83" s="17" t="n"/>
      <c r="O83" s="194" t="n"/>
    </row>
    <row r="84">
      <c r="D84" s="17" t="inlineStr">
        <is>
          <t>Marketing</t>
        </is>
      </c>
      <c r="E84" t="inlineStr">
        <is>
          <t>EUR</t>
        </is>
      </c>
      <c r="G84" s="163">
        <f>-Marketing!G37</f>
        <v/>
      </c>
      <c r="H84" s="163">
        <f>-Marketing!H37</f>
        <v/>
      </c>
      <c r="I84" s="163">
        <f>-Marketing!I37</f>
        <v/>
      </c>
      <c r="J84" s="163">
        <f>-Marketing!J37</f>
        <v/>
      </c>
      <c r="K84" s="163">
        <f>-Marketing!K37</f>
        <v/>
      </c>
      <c r="L84" s="163">
        <f>-Marketing!L37</f>
        <v/>
      </c>
      <c r="M84" s="163">
        <f>-Marketing!M37</f>
        <v/>
      </c>
      <c r="N84" s="163">
        <f>-Marketing!N37</f>
        <v/>
      </c>
      <c r="O84" s="163">
        <f>-Marketing!O37</f>
        <v/>
      </c>
      <c r="P84" s="163">
        <f>-Marketing!P37</f>
        <v/>
      </c>
      <c r="Q84" s="163">
        <f>-Marketing!Q37</f>
        <v/>
      </c>
      <c r="R84" s="163">
        <f>-Marketing!R37</f>
        <v/>
      </c>
      <c r="T84" t="inlineStr">
        <is>
          <t>Paid + referral rewards + content tools, from Marketing tab.</t>
        </is>
      </c>
    </row>
    <row r="85">
      <c r="D85" s="18" t="n"/>
      <c r="E85" s="66" t="n"/>
      <c r="F85" s="66" t="n"/>
      <c r="G85" s="66" t="n"/>
      <c r="H85" s="66" t="n"/>
      <c r="I85" s="66" t="n"/>
      <c r="J85" s="66" t="n"/>
      <c r="K85" s="66" t="n"/>
      <c r="L85" s="66" t="n"/>
      <c r="M85" s="66" t="n"/>
      <c r="N85" s="66" t="n"/>
      <c r="O85" s="191" t="n"/>
    </row>
    <row r="86">
      <c r="D86" s="18" t="n"/>
      <c r="E86" s="66" t="n"/>
      <c r="F86" s="66" t="n"/>
      <c r="G86" s="66" t="n"/>
      <c r="H86" s="66" t="n"/>
      <c r="I86" s="66" t="n"/>
      <c r="J86" s="66" t="n"/>
      <c r="K86" s="66" t="n"/>
      <c r="L86" s="66" t="n"/>
      <c r="M86" s="66" t="n"/>
      <c r="N86" s="66" t="n"/>
      <c r="O86" s="191" t="n"/>
    </row>
    <row r="87">
      <c r="D87" s="17" t="n"/>
    </row>
    <row r="88">
      <c r="D88" s="17" t="n"/>
      <c r="O88" s="186" t="n"/>
    </row>
    <row r="89">
      <c r="D89" s="18" t="n"/>
      <c r="O89" s="69" t="n"/>
    </row>
    <row r="90">
      <c r="D90" s="18" t="n"/>
      <c r="O90" s="195" t="n"/>
    </row>
    <row r="91">
      <c r="D91" s="17" t="n"/>
    </row>
    <row r="92">
      <c r="D92" s="17" t="inlineStr">
        <is>
          <t>Total OPEX (without contingency)</t>
        </is>
      </c>
      <c r="G92" s="207">
        <f>G49+G58+G66+G70+G79+G84</f>
        <v/>
      </c>
      <c r="H92" s="207">
        <f>H49+H58+H66+H70+H79+H84</f>
        <v/>
      </c>
      <c r="I92" s="207">
        <f>I49+I58+I66+I70+I79+I84</f>
        <v/>
      </c>
      <c r="J92" s="207">
        <f>J49+J58+J66+J70+J79+J84</f>
        <v/>
      </c>
      <c r="K92" s="207">
        <f>K49+K58+K66+K70+K79+K84</f>
        <v/>
      </c>
      <c r="L92" s="207">
        <f>L49+L58+L66+L70+L79+L84</f>
        <v/>
      </c>
      <c r="M92" s="207">
        <f>M49+M58+M66+M70+M79+M84</f>
        <v/>
      </c>
      <c r="N92" s="207">
        <f>N49+N58+N66+N70+N79+N84</f>
        <v/>
      </c>
      <c r="O92" s="207">
        <f>O49+O58+O66+O70+O79+O84</f>
        <v/>
      </c>
      <c r="P92" s="207">
        <f>P49+P58+P66+P70+P79+P84</f>
        <v/>
      </c>
      <c r="Q92" s="207">
        <f>Q49+Q58+Q66+Q70+Q79+Q84</f>
        <v/>
      </c>
      <c r="R92" s="207">
        <f>R49+R58+R66+R70+R79+R84</f>
        <v/>
      </c>
    </row>
    <row r="93">
      <c r="D93" s="18" t="n"/>
      <c r="O93" s="196" t="n"/>
    </row>
    <row r="94">
      <c r="D94" s="12" t="inlineStr">
        <is>
          <t>Contingency rate</t>
        </is>
      </c>
      <c r="I94" s="34" t="n">
        <v>0.05</v>
      </c>
      <c r="J94" s="116">
        <f>I94</f>
        <v/>
      </c>
      <c r="K94" s="116">
        <f>J94</f>
        <v/>
      </c>
      <c r="L94" s="116">
        <f>K94</f>
        <v/>
      </c>
      <c r="M94" s="116">
        <f>L94</f>
        <v/>
      </c>
      <c r="N94" s="116">
        <f>M94</f>
        <v/>
      </c>
      <c r="O94" s="116">
        <f>N94</f>
        <v/>
      </c>
      <c r="P94" s="116">
        <f>O94</f>
        <v/>
      </c>
      <c r="Q94" s="116">
        <f>P94</f>
        <v/>
      </c>
      <c r="R94" s="116">
        <f>Q94</f>
        <v/>
      </c>
    </row>
    <row r="95">
      <c r="D95" s="17" t="inlineStr">
        <is>
          <t>Contingency budget</t>
        </is>
      </c>
      <c r="I95" s="215">
        <f>I94*I92</f>
        <v/>
      </c>
      <c r="J95" s="215">
        <f>J94*J92</f>
        <v/>
      </c>
      <c r="K95" s="215">
        <f>K94*K92</f>
        <v/>
      </c>
      <c r="L95" s="215">
        <f>L94*L92</f>
        <v/>
      </c>
      <c r="M95" s="215">
        <f>M94*M92</f>
        <v/>
      </c>
      <c r="N95" s="215">
        <f>N94*N92</f>
        <v/>
      </c>
      <c r="O95" s="215">
        <f>O94*O92</f>
        <v/>
      </c>
      <c r="P95" s="215">
        <f>P94*P92</f>
        <v/>
      </c>
      <c r="Q95" s="215">
        <f>Q94*Q92</f>
        <v/>
      </c>
      <c r="R95" s="215">
        <f>R94*R92</f>
        <v/>
      </c>
    </row>
    <row r="96">
      <c r="D96" s="17" t="n"/>
      <c r="O96" s="186" t="n"/>
    </row>
    <row r="97">
      <c r="D97" s="23" t="inlineStr">
        <is>
          <t>Total OPEX</t>
        </is>
      </c>
      <c r="I97" s="215">
        <f>I92+I95</f>
        <v/>
      </c>
      <c r="J97" s="215">
        <f>J92+J95</f>
        <v/>
      </c>
      <c r="K97" s="215">
        <f>K92+K95</f>
        <v/>
      </c>
      <c r="L97" s="215">
        <f>L92+L95</f>
        <v/>
      </c>
      <c r="M97" s="215">
        <f>M92+M95</f>
        <v/>
      </c>
      <c r="N97" s="215">
        <f>N92+N95</f>
        <v/>
      </c>
      <c r="O97" s="215">
        <f>O92+O95</f>
        <v/>
      </c>
      <c r="P97" s="215">
        <f>P92+P95</f>
        <v/>
      </c>
      <c r="Q97" s="215">
        <f>Q92+Q95</f>
        <v/>
      </c>
      <c r="R97" s="215">
        <f>R92+R95</f>
        <v/>
      </c>
    </row>
    <row r="98">
      <c r="D98" s="18" t="n"/>
      <c r="O98" s="196" t="n"/>
    </row>
    <row r="100">
      <c r="B100" s="15" t="n">
        <v>3</v>
      </c>
      <c r="D100" s="16" t="inlineStr">
        <is>
          <t>CAPEX</t>
        </is>
      </c>
      <c r="I100" s="186">
        <f>I102</f>
        <v/>
      </c>
      <c r="J100" s="186">
        <f>J102</f>
        <v/>
      </c>
      <c r="K100" s="186">
        <f>K102</f>
        <v/>
      </c>
      <c r="L100" s="186">
        <f>L102</f>
        <v/>
      </c>
      <c r="M100" s="186">
        <f>M102</f>
        <v/>
      </c>
      <c r="N100" s="186">
        <f>N102</f>
        <v/>
      </c>
      <c r="O100" s="186">
        <f>O102</f>
        <v/>
      </c>
      <c r="P100" s="186">
        <f>P102</f>
        <v/>
      </c>
      <c r="Q100" s="186">
        <f>Q102</f>
        <v/>
      </c>
      <c r="R100" s="186">
        <f>R102</f>
        <v/>
      </c>
    </row>
    <row r="101">
      <c r="D101" s="17" t="n"/>
      <c r="O101" s="196" t="n"/>
    </row>
    <row r="102">
      <c r="D102" s="18" t="inlineStr">
        <is>
          <t>Platform development</t>
        </is>
      </c>
      <c r="I102" s="216" t="n">
        <v>0</v>
      </c>
      <c r="J102" s="216">
        <f>I102</f>
        <v/>
      </c>
      <c r="K102" s="216">
        <f>J102</f>
        <v/>
      </c>
      <c r="L102" s="216">
        <f>K102</f>
        <v/>
      </c>
      <c r="M102" s="216">
        <f>L102</f>
        <v/>
      </c>
      <c r="N102" s="216">
        <f>M102</f>
        <v/>
      </c>
      <c r="O102" s="216">
        <f>N102</f>
        <v/>
      </c>
      <c r="P102" s="216">
        <f>O102</f>
        <v/>
      </c>
      <c r="Q102" s="216">
        <f>P102</f>
        <v/>
      </c>
      <c r="R102" s="216">
        <f>Q102</f>
        <v/>
      </c>
    </row>
    <row r="103">
      <c r="D103" s="17" t="n"/>
      <c r="O103" s="196" t="n"/>
    </row>
    <row r="104">
      <c r="B104" s="15" t="n">
        <v>4</v>
      </c>
      <c r="D104" s="16" t="inlineStr">
        <is>
          <t>Margin</t>
        </is>
      </c>
    </row>
    <row r="106">
      <c r="D106" s="17" t="inlineStr">
        <is>
          <t>Gross profit</t>
        </is>
      </c>
      <c r="E106" s="17" t="n"/>
      <c r="F106" s="17" t="n"/>
      <c r="G106" s="172">
        <f>G11+G49</f>
        <v/>
      </c>
      <c r="H106" s="172">
        <f>H11+H49</f>
        <v/>
      </c>
      <c r="I106" s="172">
        <f>I11+I49</f>
        <v/>
      </c>
      <c r="J106" s="172">
        <f>J11+J49</f>
        <v/>
      </c>
      <c r="K106" s="172">
        <f>K11+K49</f>
        <v/>
      </c>
      <c r="L106" s="172">
        <f>L11+L49</f>
        <v/>
      </c>
      <c r="M106" s="172">
        <f>M11+M49</f>
        <v/>
      </c>
      <c r="N106" s="172">
        <f>N11+N49</f>
        <v/>
      </c>
      <c r="O106" s="172">
        <f>O11+O49</f>
        <v/>
      </c>
      <c r="P106" s="172">
        <f>P11+P49</f>
        <v/>
      </c>
      <c r="Q106" s="172">
        <f>Q11+Q49</f>
        <v/>
      </c>
      <c r="R106" s="172">
        <f>R11+R49</f>
        <v/>
      </c>
    </row>
    <row r="107">
      <c r="D107" s="12" t="inlineStr">
        <is>
          <t>Gross margin</t>
        </is>
      </c>
      <c r="G107" s="116">
        <f>IFERROR(G106/G11,"")</f>
        <v/>
      </c>
      <c r="H107" s="116">
        <f>IFERROR(H106/H11,"")</f>
        <v/>
      </c>
      <c r="I107" s="116">
        <f>IFERROR(I106/I11,"")</f>
        <v/>
      </c>
      <c r="J107" s="116">
        <f>IFERROR(J106/J11,"")</f>
        <v/>
      </c>
      <c r="K107" s="116">
        <f>IFERROR(K106/K11,"")</f>
        <v/>
      </c>
      <c r="L107" s="116">
        <f>IFERROR(L106/L11,"")</f>
        <v/>
      </c>
      <c r="M107" s="116">
        <f>IFERROR(M106/M11,"")</f>
        <v/>
      </c>
      <c r="N107" s="116">
        <f>IFERROR(N106/N11,"")</f>
        <v/>
      </c>
      <c r="O107" s="116">
        <f>IFERROR(O106/O11,"")</f>
        <v/>
      </c>
      <c r="P107" s="116">
        <f>IFERROR(P106/P11,"")</f>
        <v/>
      </c>
      <c r="Q107" s="116">
        <f>IFERROR(Q106/Q11,"")</f>
        <v/>
      </c>
      <c r="R107" s="116">
        <f>IFERROR(R106/R11,"")</f>
        <v/>
      </c>
    </row>
    <row r="108">
      <c r="D108" s="17" t="inlineStr">
        <is>
          <t>EBIT</t>
        </is>
      </c>
      <c r="E108" s="17" t="n"/>
      <c r="F108" s="17" t="n"/>
      <c r="G108" s="207">
        <f>G97+G11</f>
        <v/>
      </c>
      <c r="H108" s="207">
        <f>H97+H11</f>
        <v/>
      </c>
      <c r="I108" s="207">
        <f>I97+I11</f>
        <v/>
      </c>
      <c r="J108" s="207">
        <f>J97+J11</f>
        <v/>
      </c>
      <c r="K108" s="207">
        <f>K97+K11</f>
        <v/>
      </c>
      <c r="L108" s="207">
        <f>L97+L11</f>
        <v/>
      </c>
      <c r="M108" s="207">
        <f>M97+M11</f>
        <v/>
      </c>
      <c r="N108" s="207">
        <f>N97+N11</f>
        <v/>
      </c>
      <c r="O108" s="207">
        <f>O97+O11</f>
        <v/>
      </c>
      <c r="P108" s="207">
        <f>P97+P11</f>
        <v/>
      </c>
      <c r="Q108" s="207">
        <f>Q97+Q11</f>
        <v/>
      </c>
      <c r="R108" s="207">
        <f>R97+R11</f>
        <v/>
      </c>
    </row>
    <row r="109">
      <c r="D109" s="12" t="inlineStr">
        <is>
          <t>Operating margin</t>
        </is>
      </c>
      <c r="G109" s="34">
        <f>IFERROR(G108/G11,"")</f>
        <v/>
      </c>
      <c r="H109" s="116">
        <f>IFERROR(H108/H11,"")</f>
        <v/>
      </c>
      <c r="I109" s="116">
        <f>IFERROR(I108/I11,"")</f>
        <v/>
      </c>
      <c r="J109" s="116">
        <f>IFERROR(J108/J11,"")</f>
        <v/>
      </c>
      <c r="K109" s="116">
        <f>IFERROR(K108/K11,"")</f>
        <v/>
      </c>
      <c r="L109" s="116">
        <f>IFERROR(L108/L11,"")</f>
        <v/>
      </c>
      <c r="M109" s="116">
        <f>IFERROR(M108/M11,"")</f>
        <v/>
      </c>
      <c r="N109" s="116">
        <f>IFERROR(N108/N11,"")</f>
        <v/>
      </c>
      <c r="O109" s="116">
        <f>IFERROR(O108/O11,"")</f>
        <v/>
      </c>
      <c r="P109" s="116">
        <f>IFERROR(P108/P11,"")</f>
        <v/>
      </c>
      <c r="Q109" s="116">
        <f>IFERROR(Q108/Q11,"")</f>
        <v/>
      </c>
      <c r="R109" s="116">
        <f>IFERROR(R108/R11,"")</f>
        <v/>
      </c>
    </row>
  </sheetData>
  <dataValidations disablePrompts="1" count="1">
    <dataValidation sqref="F6:H6" showDropDown="0" showInputMessage="1" showErrorMessage="1" allowBlank="1" errorTitle="Invalid provider" error="Choose Printsmarter or Elanders." type="list">
      <formula1>"Printsmarter,Elanders"</formula1>
    </dataValidation>
  </dataValidations>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T54"/>
  <sheetViews>
    <sheetView tabSelected="1" topLeftCell="B11" zoomScale="83" zoomScaleNormal="83" workbookViewId="0">
      <selection activeCell="K16" sqref="K16"/>
    </sheetView>
  </sheetViews>
  <sheetFormatPr baseColWidth="8" defaultRowHeight="14.4"/>
  <cols>
    <col width="4.33203125" customWidth="1" style="180" min="2" max="2"/>
    <col width="1.6640625" customWidth="1" style="180" min="3" max="3"/>
    <col width="36.109375" customWidth="1" style="180" min="4" max="4"/>
    <col width="12.5546875" customWidth="1" style="180" min="7" max="16"/>
  </cols>
  <sheetData>
    <row r="1">
      <c r="A1" s="12" t="n"/>
      <c r="B1" s="12" t="n"/>
      <c r="C1" s="12" t="n"/>
      <c r="D1" s="12" t="n"/>
      <c r="E1" s="12" t="n"/>
      <c r="F1" s="12" t="n"/>
      <c r="G1" s="12" t="n"/>
      <c r="H1" s="12" t="n"/>
      <c r="I1" s="12" t="n"/>
      <c r="J1" s="12" t="n"/>
      <c r="K1" s="12" t="n"/>
      <c r="L1" s="12" t="n"/>
      <c r="M1" s="12" t="n"/>
    </row>
    <row r="2">
      <c r="A2" s="39" t="n"/>
      <c r="B2" s="44" t="n"/>
      <c r="C2" s="41" t="n"/>
      <c r="D2" s="173" t="inlineStr">
        <is>
          <t>Marketing calculator — drives order volume &amp; spend into the Quarterly view</t>
        </is>
      </c>
      <c r="E2" s="42" t="n"/>
      <c r="F2" s="42" t="n"/>
      <c r="G2" s="42" t="n"/>
      <c r="H2" s="42" t="n"/>
      <c r="I2" s="42" t="n"/>
      <c r="J2" s="42" t="n"/>
      <c r="K2" s="42" t="n"/>
      <c r="L2" s="42" t="n"/>
      <c r="M2" s="42" t="n"/>
      <c r="N2" s="42" t="n"/>
      <c r="O2" s="42" t="n"/>
      <c r="P2" s="42" t="n"/>
      <c r="Q2" s="42" t="n"/>
      <c r="R2" s="42" t="n"/>
    </row>
    <row r="3">
      <c r="A3" s="39" t="n"/>
      <c r="B3" s="44" t="n"/>
      <c r="C3" s="41" t="n"/>
      <c r="D3" s="72" t="n"/>
      <c r="E3" s="42" t="n"/>
      <c r="F3" s="42" t="n"/>
      <c r="G3" s="42" t="n"/>
      <c r="H3" s="42" t="n"/>
      <c r="I3" s="42" t="n"/>
      <c r="J3" s="42" t="n"/>
      <c r="K3" s="42" t="n"/>
      <c r="L3" s="42" t="n"/>
      <c r="M3" s="42" t="n"/>
      <c r="N3" s="42" t="n"/>
      <c r="O3" s="42" t="n"/>
      <c r="P3" s="42" t="n"/>
      <c r="Q3" s="42" t="n"/>
      <c r="R3" s="42" t="n"/>
    </row>
    <row r="4" ht="15.6" customHeight="1" s="180">
      <c r="A4" s="39" t="n"/>
      <c r="B4" s="44" t="n"/>
      <c r="C4" s="41" t="n"/>
      <c r="D4" s="47" t="inlineStr">
        <is>
          <t>Yellow-ish = inputs you flex · others are formulas. Columns match the Quarterly view 1:1.</t>
        </is>
      </c>
      <c r="E4" s="42" t="n"/>
      <c r="F4" s="42" t="n"/>
      <c r="G4" s="42" t="n"/>
      <c r="H4" s="42" t="n"/>
      <c r="I4" s="42" t="n"/>
      <c r="J4" s="42" t="n"/>
      <c r="K4" s="42" t="n"/>
      <c r="L4" s="42" t="n"/>
      <c r="M4" s="42" t="n"/>
      <c r="N4" s="42" t="n"/>
      <c r="O4" s="42" t="n"/>
      <c r="P4" s="42" t="n"/>
      <c r="Q4" s="42" t="n"/>
      <c r="R4" s="42" t="n"/>
    </row>
    <row r="5" ht="15.6" customHeight="1" s="180">
      <c r="A5" s="39" t="n"/>
      <c r="B5" s="44" t="n"/>
      <c r="C5" s="41" t="n"/>
      <c r="D5" s="48" t="n"/>
      <c r="E5" s="42" t="n"/>
      <c r="F5" s="42" t="n"/>
      <c r="G5" s="42" t="n"/>
      <c r="H5" s="42" t="n"/>
      <c r="I5" s="42" t="n"/>
      <c r="J5" s="42" t="n"/>
      <c r="K5" s="42" t="n"/>
      <c r="L5" s="42" t="n"/>
      <c r="M5" s="42" t="n"/>
      <c r="N5" s="42" t="n"/>
      <c r="O5" s="42" t="n"/>
      <c r="P5" s="42" t="n"/>
      <c r="Q5" s="42" t="n"/>
      <c r="R5" s="42" t="n"/>
    </row>
    <row r="8">
      <c r="D8" t="inlineStr">
        <is>
          <t>Year</t>
        </is>
      </c>
      <c r="G8" s="174" t="n">
        <v>2026</v>
      </c>
      <c r="H8" s="174" t="n">
        <v>2026</v>
      </c>
      <c r="I8" s="174" t="n">
        <v>2026</v>
      </c>
      <c r="J8" s="174" t="n">
        <v>2026</v>
      </c>
      <c r="K8" s="174" t="n">
        <v>2027</v>
      </c>
      <c r="L8" s="174" t="n">
        <v>2027</v>
      </c>
      <c r="M8" s="174" t="n">
        <v>2027</v>
      </c>
      <c r="N8" s="174" t="n">
        <v>2027</v>
      </c>
      <c r="O8" s="174" t="n">
        <v>2028</v>
      </c>
      <c r="P8" s="174" t="n">
        <v>2028</v>
      </c>
      <c r="Q8" s="174" t="n">
        <v>2028</v>
      </c>
      <c r="R8" s="174" t="n">
        <v>2028</v>
      </c>
    </row>
    <row r="9">
      <c r="B9" s="8" t="inlineStr">
        <is>
          <t>#</t>
        </is>
      </c>
      <c r="D9" s="8" t="inlineStr">
        <is>
          <t>Metric</t>
        </is>
      </c>
      <c r="E9" s="8" t="inlineStr">
        <is>
          <t>Unit</t>
        </is>
      </c>
      <c r="F9" s="8" t="n"/>
      <c r="G9" s="181" t="inlineStr">
        <is>
          <t>1Q 2026</t>
        </is>
      </c>
      <c r="H9" s="181" t="inlineStr">
        <is>
          <t>2Q 2026</t>
        </is>
      </c>
      <c r="I9" s="181" t="inlineStr">
        <is>
          <t>3Q 2026</t>
        </is>
      </c>
      <c r="J9" s="181" t="inlineStr">
        <is>
          <t>4Q 2026</t>
        </is>
      </c>
      <c r="K9" s="181" t="inlineStr">
        <is>
          <t>1Q 2027</t>
        </is>
      </c>
      <c r="L9" s="181" t="inlineStr">
        <is>
          <t>2Q 2027</t>
        </is>
      </c>
      <c r="M9" s="181" t="inlineStr">
        <is>
          <t>3Q 2027</t>
        </is>
      </c>
      <c r="N9" s="181" t="inlineStr">
        <is>
          <t>4Q2027</t>
        </is>
      </c>
      <c r="O9" s="181" t="inlineStr">
        <is>
          <t>1Q 2028</t>
        </is>
      </c>
      <c r="P9" s="181" t="inlineStr">
        <is>
          <t>2Q 2028</t>
        </is>
      </c>
      <c r="Q9" s="181" t="inlineStr">
        <is>
          <t>3Q 2028</t>
        </is>
      </c>
      <c r="R9" s="181" t="inlineStr">
        <is>
          <t>4Q2028</t>
        </is>
      </c>
      <c r="T9" t="inlineStr">
        <is>
          <t>Comments</t>
        </is>
      </c>
    </row>
    <row r="11">
      <c r="B11" s="15" t="n">
        <v>1</v>
      </c>
      <c r="D11" s="16" t="inlineStr">
        <is>
          <t>Paid engine</t>
        </is>
      </c>
    </row>
    <row r="12">
      <c r="D12" t="inlineStr">
        <is>
          <t>Quarterly paid budget</t>
        </is>
      </c>
      <c r="E12" t="inlineStr">
        <is>
          <t>EUR</t>
        </is>
      </c>
      <c r="G12" s="175" t="n">
        <v>0</v>
      </c>
      <c r="H12" s="175" t="n">
        <v>0</v>
      </c>
      <c r="I12" s="175" t="n">
        <v>0</v>
      </c>
      <c r="J12" s="175" t="n">
        <v>1500</v>
      </c>
      <c r="K12" s="175" t="n">
        <v>2000</v>
      </c>
      <c r="L12" s="175" t="n">
        <v>2500</v>
      </c>
      <c r="M12" s="175" t="n">
        <v>3000</v>
      </c>
      <c r="N12" s="175" t="n">
        <v>3500</v>
      </c>
      <c r="O12" s="175" t="n">
        <v>4000</v>
      </c>
      <c r="P12" s="175" t="n">
        <v>5000</v>
      </c>
      <c r="Q12" s="175" t="n">
        <v>6000</v>
      </c>
      <c r="R12" s="175" t="n">
        <v>7000</v>
      </c>
      <c r="T12" t="inlineStr">
        <is>
          <t>INPUT. Promo test lives here — start small, read the real CAC.</t>
        </is>
      </c>
    </row>
    <row r="13">
      <c r="D13" t="inlineStr">
        <is>
          <t>CPC</t>
        </is>
      </c>
      <c r="E13" t="inlineStr">
        <is>
          <t>EUR</t>
        </is>
      </c>
      <c r="G13" s="176" t="n">
        <v>0.85</v>
      </c>
      <c r="H13" s="177" t="n">
        <v>0.85</v>
      </c>
      <c r="I13" s="177" t="n">
        <v>0.85</v>
      </c>
      <c r="J13" s="177" t="n">
        <v>0.85</v>
      </c>
      <c r="K13" s="177" t="n">
        <v>0.85</v>
      </c>
      <c r="L13" s="177" t="n">
        <v>0.85</v>
      </c>
      <c r="M13" s="177" t="n">
        <v>0.85</v>
      </c>
      <c r="N13" s="177" t="n">
        <v>0.85</v>
      </c>
      <c r="O13" s="177" t="n">
        <v>0.85</v>
      </c>
      <c r="P13" s="177" t="n">
        <v>0.85</v>
      </c>
      <c r="Q13" s="177" t="n">
        <v>0.85</v>
      </c>
      <c r="R13" s="177" t="n">
        <v>0.85</v>
      </c>
      <c r="T13" t="inlineStr">
        <is>
          <t>INPUT. Cost per click (Meta/IG). US-skewed guess until measured.</t>
        </is>
      </c>
    </row>
    <row r="14">
      <c r="D14" t="inlineStr">
        <is>
          <t>Conversion rate (click→order)</t>
        </is>
      </c>
      <c r="E14" t="inlineStr">
        <is>
          <t>%</t>
        </is>
      </c>
      <c r="G14" s="217" t="n">
        <v>0.02</v>
      </c>
      <c r="H14" s="217" t="n">
        <v>0.02</v>
      </c>
      <c r="I14" s="217" t="n">
        <v>0.02</v>
      </c>
      <c r="J14" s="217" t="n">
        <v>0.02</v>
      </c>
      <c r="K14" s="217" t="n">
        <v>0.02</v>
      </c>
      <c r="L14" s="217" t="n">
        <v>0.02</v>
      </c>
      <c r="M14" s="217" t="n">
        <v>0.02</v>
      </c>
      <c r="N14" s="217" t="n">
        <v>0.02</v>
      </c>
      <c r="O14" s="217" t="n">
        <v>0.02</v>
      </c>
      <c r="P14" s="217" t="n">
        <v>0.02</v>
      </c>
      <c r="Q14" s="217" t="n">
        <v>0.02</v>
      </c>
      <c r="R14" s="217" t="n">
        <v>0.02</v>
      </c>
      <c r="T14" t="inlineStr">
        <is>
          <t>INPUT. 2% base per research; verify with the test.</t>
        </is>
      </c>
    </row>
    <row r="15">
      <c r="D15" s="24" t="inlineStr">
        <is>
          <t>CAC override</t>
        </is>
      </c>
      <c r="E15" t="inlineStr">
        <is>
          <t>EUR</t>
        </is>
      </c>
      <c r="G15" s="4" t="n"/>
      <c r="T15" s="24" t="inlineStr">
        <is>
          <t>INPUT (optional). Leave blank to use CPC÷conv. Fill once you MEASURE a real CAC — it then wins.</t>
        </is>
      </c>
    </row>
    <row r="16">
      <c r="D16" t="inlineStr">
        <is>
          <t>Implied CAC (CPC ÷ conv)</t>
        </is>
      </c>
      <c r="E16" t="inlineStr">
        <is>
          <t>EUR</t>
        </is>
      </c>
      <c r="G16" s="218">
        <f>IF(G14&gt;0,G13/G14,0)</f>
        <v/>
      </c>
      <c r="H16" s="218">
        <f>IF(H14&gt;0,H13/H14,0)</f>
        <v/>
      </c>
      <c r="I16" s="218">
        <f>IF(I14&gt;0,I13/I14,0)</f>
        <v/>
      </c>
      <c r="J16" s="218">
        <f>IF(J14&gt;0,J13/J14,0)</f>
        <v/>
      </c>
      <c r="K16" s="218">
        <f>IF(K14&gt;0,K13/K14,0)</f>
        <v/>
      </c>
      <c r="L16" s="218">
        <f>IF(L14&gt;0,L13/L14,0)</f>
        <v/>
      </c>
      <c r="M16" s="218">
        <f>IF(M14&gt;0,M13/M14,0)</f>
        <v/>
      </c>
      <c r="N16" s="218">
        <f>IF(N14&gt;0,N13/N14,0)</f>
        <v/>
      </c>
      <c r="O16" s="218">
        <f>IF(O14&gt;0,O13/O14,0)</f>
        <v/>
      </c>
      <c r="P16" s="218">
        <f>IF(P14&gt;0,P13/P14,0)</f>
        <v/>
      </c>
      <c r="Q16" s="218">
        <f>IF(Q14&gt;0,Q13/Q14,0)</f>
        <v/>
      </c>
      <c r="R16" s="218">
        <f>IF(R14&gt;0,R13/R14,0)</f>
        <v/>
      </c>
    </row>
    <row r="17">
      <c r="D17" t="inlineStr">
        <is>
          <t>Effective CAC</t>
        </is>
      </c>
      <c r="E17" t="inlineStr">
        <is>
          <t>EUR</t>
        </is>
      </c>
      <c r="G17" s="218">
        <f>IF(G15&lt;&gt;"",G15,G16)</f>
        <v/>
      </c>
      <c r="H17" s="218">
        <f>IF(H15&lt;&gt;"",H15,H16)</f>
        <v/>
      </c>
      <c r="I17" s="218">
        <f>IF(I15&lt;&gt;"",I15,I16)</f>
        <v/>
      </c>
      <c r="J17" s="218">
        <f>IF(J15&lt;&gt;"",J15,J16)</f>
        <v/>
      </c>
      <c r="K17" s="218">
        <f>IF(K15&lt;&gt;"",K15,K16)</f>
        <v/>
      </c>
      <c r="L17" s="218">
        <f>IF(L15&lt;&gt;"",L15,L16)</f>
        <v/>
      </c>
      <c r="M17" s="218">
        <f>IF(M15&lt;&gt;"",M15,M16)</f>
        <v/>
      </c>
      <c r="N17" s="218">
        <f>IF(N15&lt;&gt;"",N15,N16)</f>
        <v/>
      </c>
      <c r="O17" s="218">
        <f>IF(O15&lt;&gt;"",O15,O16)</f>
        <v/>
      </c>
      <c r="P17" s="218">
        <f>IF(P15&lt;&gt;"",P15,P16)</f>
        <v/>
      </c>
      <c r="Q17" s="218">
        <f>IF(Q15&lt;&gt;"",Q15,Q16)</f>
        <v/>
      </c>
      <c r="R17" s="218">
        <f>IF(R15&lt;&gt;"",R15,R16)</f>
        <v/>
      </c>
    </row>
    <row r="18">
      <c r="D18" s="105" t="inlineStr">
        <is>
          <t>Paid orders (quarter)</t>
        </is>
      </c>
      <c r="E18" t="inlineStr">
        <is>
          <t>pcs</t>
        </is>
      </c>
      <c r="G18" s="175">
        <f>IF(G17&gt;0,ROUND(G12/G17,0),0)</f>
        <v/>
      </c>
      <c r="H18" s="175">
        <f>IF(H17&gt;0,ROUND(H12/H17,0),0)</f>
        <v/>
      </c>
      <c r="I18" s="175">
        <f>IF(I17&gt;0,ROUND(I12/I17,0),0)</f>
        <v/>
      </c>
      <c r="J18" s="175">
        <f>IF(J17&gt;0,ROUND(J12/J17,0),0)</f>
        <v/>
      </c>
      <c r="K18" s="175">
        <f>IF(K17&gt;0,ROUND(K12/K17,0),0)</f>
        <v/>
      </c>
      <c r="L18" s="175">
        <f>IF(L17&gt;0,ROUND(L12/L17,0),0)</f>
        <v/>
      </c>
      <c r="M18" s="175">
        <f>IF(M17&gt;0,ROUND(M12/M17,0),0)</f>
        <v/>
      </c>
      <c r="N18" s="175">
        <f>IF(N17&gt;0,ROUND(N12/N17,0),0)</f>
        <v/>
      </c>
      <c r="O18" s="175">
        <f>IF(O17&gt;0,ROUND(O12/O17,0),0)</f>
        <v/>
      </c>
      <c r="P18" s="175">
        <f>IF(P17&gt;0,ROUND(P12/P17,0),0)</f>
        <v/>
      </c>
      <c r="Q18" s="175">
        <f>IF(Q17&gt;0,ROUND(Q12/Q17,0),0)</f>
        <v/>
      </c>
      <c r="R18" s="175">
        <f>IF(R17&gt;0,ROUND(R12/R17,0),0)</f>
        <v/>
      </c>
    </row>
    <row r="20">
      <c r="B20" s="15" t="n">
        <v>2</v>
      </c>
      <c r="D20" s="16" t="inlineStr">
        <is>
          <t>Organic engine</t>
        </is>
      </c>
    </row>
    <row r="21">
      <c r="D21" t="inlineStr">
        <is>
          <t>Organic orders (quarter)</t>
        </is>
      </c>
      <c r="E21" t="inlineStr">
        <is>
          <t>pcs</t>
        </is>
      </c>
      <c r="G21" s="175" t="n">
        <v>0</v>
      </c>
      <c r="H21" s="175" t="n">
        <v>0</v>
      </c>
      <c r="I21" s="175" t="n">
        <v>5</v>
      </c>
      <c r="J21" s="175" t="n">
        <v>10</v>
      </c>
      <c r="K21" s="175" t="n">
        <v>20</v>
      </c>
      <c r="L21" s="175" t="n">
        <v>30</v>
      </c>
      <c r="M21" s="175" t="n">
        <v>40</v>
      </c>
      <c r="N21" s="175" t="n">
        <v>50</v>
      </c>
      <c r="O21" s="175" t="n">
        <v>65</v>
      </c>
      <c r="P21" s="175" t="n">
        <v>80</v>
      </c>
      <c r="Q21" s="175" t="n">
        <v>95</v>
      </c>
      <c r="R21" s="175" t="n">
        <v>110</v>
      </c>
      <c r="T21" t="inlineStr">
        <is>
          <t>INPUT. Effort-capped ramp — cannot be bought. Set by content cadence, not budget.</t>
        </is>
      </c>
    </row>
    <row r="22">
      <c r="D22" t="inlineStr">
        <is>
          <t>Content tools &amp; production</t>
        </is>
      </c>
      <c r="E22" t="inlineStr">
        <is>
          <t>EUR/mo</t>
        </is>
      </c>
      <c r="G22" s="175">
        <f>G52</f>
        <v/>
      </c>
      <c r="H22" s="175">
        <f>H52</f>
        <v/>
      </c>
      <c r="I22" s="175">
        <f>I52</f>
        <v/>
      </c>
      <c r="J22" s="175">
        <f>J52</f>
        <v/>
      </c>
      <c r="K22" s="175">
        <f>K52</f>
        <v/>
      </c>
      <c r="L22" s="175">
        <f>L52</f>
        <v/>
      </c>
      <c r="M22" s="175">
        <f>M52</f>
        <v/>
      </c>
      <c r="N22" s="175">
        <f>N52</f>
        <v/>
      </c>
      <c r="O22" s="175">
        <f>O52</f>
        <v/>
      </c>
      <c r="P22" s="175">
        <f>P52</f>
        <v/>
      </c>
      <c r="Q22" s="175">
        <f>Q52</f>
        <v/>
      </c>
      <c r="R22" s="175">
        <f>R52</f>
        <v/>
      </c>
      <c r="T22">
        <f> breakdown below (row 52). Edit tools there, not here.</f>
        <v/>
      </c>
    </row>
    <row r="24">
      <c r="B24" s="15" t="n">
        <v>3</v>
      </c>
      <c r="D24" s="16" t="inlineStr">
        <is>
          <t>Referral engine</t>
        </is>
      </c>
    </row>
    <row r="25">
      <c r="D25" t="inlineStr">
        <is>
          <t>Referral share of total orders</t>
        </is>
      </c>
      <c r="E25" t="inlineStr">
        <is>
          <t>%</t>
        </is>
      </c>
      <c r="G25" s="217" t="n">
        <v>0</v>
      </c>
      <c r="H25" s="217" t="n">
        <v>0</v>
      </c>
      <c r="I25" s="217" t="n">
        <v>0</v>
      </c>
      <c r="J25" s="217" t="n">
        <v>0.03</v>
      </c>
      <c r="K25" s="217" t="n">
        <v>0.04</v>
      </c>
      <c r="L25" s="217" t="n">
        <v>0.04</v>
      </c>
      <c r="M25" s="217" t="n">
        <v>0.05</v>
      </c>
      <c r="N25" s="217" t="n">
        <v>0.05</v>
      </c>
      <c r="O25" s="217" t="n">
        <v>0.06</v>
      </c>
      <c r="P25" s="217" t="n">
        <v>0.06</v>
      </c>
      <c r="Q25" s="217" t="n">
        <v>0.07000000000000001</v>
      </c>
      <c r="R25" s="217" t="n">
        <v>0.07000000000000001</v>
      </c>
      <c r="T25" t="inlineStr">
        <is>
          <t>INPUT. Referred orders as % of all orders (research: 3–5% yr0–1).</t>
        </is>
      </c>
    </row>
    <row r="26">
      <c r="D26" t="inlineStr">
        <is>
          <t>Referral reward per referred order</t>
        </is>
      </c>
      <c r="E26" t="inlineStr">
        <is>
          <t>EUR</t>
        </is>
      </c>
      <c r="G26" s="175" t="n">
        <v>10</v>
      </c>
      <c r="H26" s="183">
        <f>G26</f>
        <v/>
      </c>
      <c r="I26" s="183">
        <f>H26</f>
        <v/>
      </c>
      <c r="J26" s="183">
        <f>I26</f>
        <v/>
      </c>
      <c r="K26" s="183">
        <f>J26</f>
        <v/>
      </c>
      <c r="L26" s="183">
        <f>K26</f>
        <v/>
      </c>
      <c r="M26" s="183">
        <f>L26</f>
        <v/>
      </c>
      <c r="N26" s="183">
        <f>M26</f>
        <v/>
      </c>
      <c r="O26" s="183">
        <f>N26</f>
        <v/>
      </c>
      <c r="P26" s="183">
        <f>O26</f>
        <v/>
      </c>
      <c r="Q26" s="183">
        <f>P26</f>
        <v/>
      </c>
      <c r="R26" s="183">
        <f>Q26</f>
        <v/>
      </c>
      <c r="T26" t="inlineStr">
        <is>
          <t>INPUT. Only bites when share&gt;0.</t>
        </is>
      </c>
    </row>
    <row r="28">
      <c r="B28" s="15" t="n">
        <v>4</v>
      </c>
      <c r="D28" s="16" t="inlineStr">
        <is>
          <t>Outputs</t>
        </is>
      </c>
    </row>
    <row r="29">
      <c r="D29" t="inlineStr">
        <is>
          <t>Paid orders</t>
        </is>
      </c>
      <c r="E29" t="inlineStr">
        <is>
          <t>pcs</t>
        </is>
      </c>
      <c r="G29" s="175">
        <f>G18</f>
        <v/>
      </c>
      <c r="H29" s="175">
        <f>H18</f>
        <v/>
      </c>
      <c r="I29" s="175">
        <f>I18</f>
        <v/>
      </c>
      <c r="J29" s="175">
        <f>J18</f>
        <v/>
      </c>
      <c r="K29" s="175">
        <f>K18</f>
        <v/>
      </c>
      <c r="L29" s="175">
        <f>L18</f>
        <v/>
      </c>
      <c r="M29" s="175">
        <f>M18</f>
        <v/>
      </c>
      <c r="N29" s="175">
        <f>N18</f>
        <v/>
      </c>
      <c r="O29" s="175">
        <f>O18</f>
        <v/>
      </c>
      <c r="P29" s="175">
        <f>P18</f>
        <v/>
      </c>
      <c r="Q29" s="175">
        <f>Q18</f>
        <v/>
      </c>
      <c r="R29" s="175">
        <f>R18</f>
        <v/>
      </c>
    </row>
    <row r="30">
      <c r="D30" t="inlineStr">
        <is>
          <t>Organic orders</t>
        </is>
      </c>
      <c r="E30" t="inlineStr">
        <is>
          <t>pcs</t>
        </is>
      </c>
      <c r="G30" s="175">
        <f>G21</f>
        <v/>
      </c>
      <c r="H30" s="175">
        <f>H21</f>
        <v/>
      </c>
      <c r="I30" s="175">
        <f>I21</f>
        <v/>
      </c>
      <c r="J30" s="175">
        <f>J21</f>
        <v/>
      </c>
      <c r="K30" s="175">
        <f>K21</f>
        <v/>
      </c>
      <c r="L30" s="175">
        <f>L21</f>
        <v/>
      </c>
      <c r="M30" s="175">
        <f>M21</f>
        <v/>
      </c>
      <c r="N30" s="175">
        <f>N21</f>
        <v/>
      </c>
      <c r="O30" s="175">
        <f>O21</f>
        <v/>
      </c>
      <c r="P30" s="175">
        <f>P21</f>
        <v/>
      </c>
      <c r="Q30" s="175">
        <f>Q21</f>
        <v/>
      </c>
      <c r="R30" s="175">
        <f>R21</f>
        <v/>
      </c>
    </row>
    <row r="31">
      <c r="D31" s="174" t="inlineStr">
        <is>
          <t>Acquired orders (quarter)</t>
        </is>
      </c>
      <c r="E31" t="inlineStr">
        <is>
          <t>pcs</t>
        </is>
      </c>
      <c r="G31" s="175">
        <f>IFERROR((G29+G30)/(1-G25),G29+G30)</f>
        <v/>
      </c>
      <c r="H31" s="175">
        <f>IFERROR((H29+H30)/(1-H25),H29+H30)</f>
        <v/>
      </c>
      <c r="I31" s="175">
        <f>IFERROR((I29+I30)/(1-I25),I29+I30)</f>
        <v/>
      </c>
      <c r="J31" s="175">
        <f>IFERROR((J29+J30)/(1-J25),J29+J30)</f>
        <v/>
      </c>
      <c r="K31" s="175">
        <f>IFERROR((K29+K30)/(1-K25),K29+K30)</f>
        <v/>
      </c>
      <c r="L31" s="175">
        <f>IFERROR((L29+L30)/(1-L25),L29+L30)</f>
        <v/>
      </c>
      <c r="M31" s="175">
        <f>IFERROR((M29+M30)/(1-M25),M29+M30)</f>
        <v/>
      </c>
      <c r="N31" s="175">
        <f>IFERROR((N29+N30)/(1-N25),N29+N30)</f>
        <v/>
      </c>
      <c r="O31" s="175">
        <f>IFERROR((O29+O30)/(1-O25),O29+O30)</f>
        <v/>
      </c>
      <c r="P31" s="175">
        <f>IFERROR((P29+P30)/(1-P25),P29+P30)</f>
        <v/>
      </c>
      <c r="Q31" s="175">
        <f>IFERROR((Q29+Q30)/(1-Q25),Q29+Q30)</f>
        <v/>
      </c>
      <c r="R31" s="175">
        <f>IFERROR((R29+R30)/(1-R25),R29+R30)</f>
        <v/>
      </c>
    </row>
    <row r="32">
      <c r="D32" t="inlineStr">
        <is>
          <t>Referral orders (quarter)</t>
        </is>
      </c>
      <c r="E32" t="inlineStr">
        <is>
          <t>pcs</t>
        </is>
      </c>
      <c r="G32" s="175">
        <f>G25*G31</f>
        <v/>
      </c>
      <c r="H32" s="175">
        <f>H25*H31</f>
        <v/>
      </c>
      <c r="I32" s="175">
        <f>I25*I31</f>
        <v/>
      </c>
      <c r="J32" s="175">
        <f>J25*J31</f>
        <v/>
      </c>
      <c r="K32" s="175">
        <f>K25*K31</f>
        <v/>
      </c>
      <c r="L32" s="175">
        <f>L25*L31</f>
        <v/>
      </c>
      <c r="M32" s="175">
        <f>M25*M31</f>
        <v/>
      </c>
      <c r="N32" s="175">
        <f>N25*N31</f>
        <v/>
      </c>
      <c r="O32" s="175">
        <f>O25*O31</f>
        <v/>
      </c>
      <c r="P32" s="175">
        <f>P25*P31</f>
        <v/>
      </c>
      <c r="Q32" s="175">
        <f>Q25*Q31</f>
        <v/>
      </c>
      <c r="R32" s="175">
        <f>R25*R31</f>
        <v/>
      </c>
    </row>
    <row r="33">
      <c r="D33" s="174" t="inlineStr">
        <is>
          <t>Total orders per day (avg, incl. repeat)</t>
        </is>
      </c>
      <c r="E33" t="inlineStr">
        <is>
          <t>pcs/day</t>
        </is>
      </c>
      <c r="G33" s="177">
        <f>(G31+G34)/90</f>
        <v/>
      </c>
      <c r="H33" s="177">
        <f>(H31+H34)/90</f>
        <v/>
      </c>
      <c r="I33" s="177">
        <f>(I31+I34)/90</f>
        <v/>
      </c>
      <c r="J33" s="177">
        <f>(J31+J34)/90</f>
        <v/>
      </c>
      <c r="K33" s="177">
        <f>(K31+K34)/90</f>
        <v/>
      </c>
      <c r="L33" s="177">
        <f>(L31+L34)/90</f>
        <v/>
      </c>
      <c r="M33" s="177">
        <f>(M31+M34)/90</f>
        <v/>
      </c>
      <c r="N33" s="177">
        <f>(N31+N34)/90</f>
        <v/>
      </c>
      <c r="O33" s="177">
        <f>(O31+O34)/90</f>
        <v/>
      </c>
      <c r="P33" s="177">
        <f>(P31+P34)/90</f>
        <v/>
      </c>
      <c r="Q33" s="177">
        <f>(Q31+Q34)/90</f>
        <v/>
      </c>
      <c r="R33" s="177">
        <f>(R31+R34)/90</f>
        <v/>
      </c>
      <c r="T33" t="inlineStr">
        <is>
          <t>→ feeds Quarterly row 13. Quarter ÷ 90 (30d × 3m).</t>
        </is>
      </c>
    </row>
    <row r="34">
      <c r="D34" t="inlineStr">
        <is>
          <t>Repeat orders (quarter)</t>
        </is>
      </c>
      <c r="E34" t="inlineStr">
        <is>
          <t>pcs</t>
        </is>
      </c>
      <c r="G34" s="175" t="n">
        <v>0</v>
      </c>
      <c r="H34" s="175" t="n">
        <v>0</v>
      </c>
      <c r="I34" s="175" t="n">
        <v>0</v>
      </c>
      <c r="J34" s="175" t="n">
        <v>0</v>
      </c>
      <c r="K34" s="175" t="n">
        <v>0</v>
      </c>
      <c r="L34" s="175" t="n">
        <v>0</v>
      </c>
      <c r="M34" s="175">
        <f>$F$54*I31</f>
        <v/>
      </c>
      <c r="N34" s="175">
        <f>$F$54*J31</f>
        <v/>
      </c>
      <c r="O34" s="175">
        <f>$F$54*K31</f>
        <v/>
      </c>
      <c r="P34" s="175">
        <f>$F$54*L31</f>
        <v/>
      </c>
      <c r="Q34" s="175">
        <f>$F$54*M31</f>
        <v/>
      </c>
      <c r="R34" s="175">
        <f>$F$54*N31</f>
        <v/>
      </c>
    </row>
    <row r="35">
      <c r="D35" t="inlineStr">
        <is>
          <t>Acquisition spend (paid + referral)</t>
        </is>
      </c>
      <c r="E35" t="inlineStr">
        <is>
          <t>EUR</t>
        </is>
      </c>
      <c r="G35" s="175">
        <f>G12+G32*G26</f>
        <v/>
      </c>
      <c r="H35" s="175">
        <f>H12+H32*H26</f>
        <v/>
      </c>
      <c r="I35" s="175">
        <f>I12+I32*I26</f>
        <v/>
      </c>
      <c r="J35" s="175">
        <f>J12+J32*J26</f>
        <v/>
      </c>
      <c r="K35" s="175">
        <f>K12+K32*K26</f>
        <v/>
      </c>
      <c r="L35" s="175">
        <f>L12+L32*L26</f>
        <v/>
      </c>
      <c r="M35" s="175">
        <f>M12+M32*M26</f>
        <v/>
      </c>
      <c r="N35" s="175">
        <f>N12+N32*N26</f>
        <v/>
      </c>
      <c r="O35" s="175">
        <f>O12+O32*O26</f>
        <v/>
      </c>
      <c r="P35" s="175">
        <f>P12+P32*P26</f>
        <v/>
      </c>
      <c r="Q35" s="175">
        <f>Q12+Q32*Q26</f>
        <v/>
      </c>
      <c r="R35" s="175">
        <f>R12+R32*R26</f>
        <v/>
      </c>
    </row>
    <row r="36">
      <c r="D36" t="inlineStr">
        <is>
          <t>Content tools (quarter)</t>
        </is>
      </c>
      <c r="E36" t="inlineStr">
        <is>
          <t>EUR</t>
        </is>
      </c>
      <c r="G36" s="175">
        <f>G22*3</f>
        <v/>
      </c>
      <c r="H36" s="175">
        <f>H22*3</f>
        <v/>
      </c>
      <c r="I36" s="175">
        <f>I22*3</f>
        <v/>
      </c>
      <c r="J36" s="175">
        <f>J22*3</f>
        <v/>
      </c>
      <c r="K36" s="175">
        <f>K22*3</f>
        <v/>
      </c>
      <c r="L36" s="175">
        <f>L22*3</f>
        <v/>
      </c>
      <c r="M36" s="175">
        <f>M22*3</f>
        <v/>
      </c>
      <c r="N36" s="175">
        <f>N22*3</f>
        <v/>
      </c>
      <c r="O36" s="175">
        <f>O22*3</f>
        <v/>
      </c>
      <c r="P36" s="175">
        <f>P22*3</f>
        <v/>
      </c>
      <c r="Q36" s="175">
        <f>Q22*3</f>
        <v/>
      </c>
      <c r="R36" s="175">
        <f>R22*3</f>
        <v/>
      </c>
    </row>
    <row r="37">
      <c r="D37" s="174" t="inlineStr">
        <is>
          <t>Total marketing spend (quarter)</t>
        </is>
      </c>
      <c r="E37" t="inlineStr">
        <is>
          <t>EUR</t>
        </is>
      </c>
      <c r="G37" s="175">
        <f>G35+G36</f>
        <v/>
      </c>
      <c r="H37" s="175">
        <f>H35+H36</f>
        <v/>
      </c>
      <c r="I37" s="175">
        <f>I35+I36</f>
        <v/>
      </c>
      <c r="J37" s="175">
        <f>J35+J36</f>
        <v/>
      </c>
      <c r="K37" s="175">
        <f>K35+K36</f>
        <v/>
      </c>
      <c r="L37" s="175">
        <f>L35+L36</f>
        <v/>
      </c>
      <c r="M37" s="175">
        <f>M35+M36</f>
        <v/>
      </c>
      <c r="N37" s="175">
        <f>N35+N36</f>
        <v/>
      </c>
      <c r="O37" s="175">
        <f>O35+O36</f>
        <v/>
      </c>
      <c r="P37" s="175">
        <f>P35+P36</f>
        <v/>
      </c>
      <c r="Q37" s="175">
        <f>Q35+Q36</f>
        <v/>
      </c>
      <c r="R37" s="175">
        <f>R35+R36</f>
        <v/>
      </c>
      <c r="T37" t="inlineStr">
        <is>
          <t>→ feeds Quarterly row 84 (as a negative OPEX).</t>
        </is>
      </c>
    </row>
    <row r="39">
      <c r="D39" s="174" t="inlineStr">
        <is>
          <t>Blended CAC (excl. tools)</t>
        </is>
      </c>
      <c r="E39" t="inlineStr">
        <is>
          <t>EUR</t>
        </is>
      </c>
      <c r="G39" s="218">
        <f>IF(G31&gt;0,G35/G31,0)</f>
        <v/>
      </c>
      <c r="H39" s="218">
        <f>IF(H31&gt;0,H35/H31,0)</f>
        <v/>
      </c>
      <c r="I39" s="218">
        <f>IF(I31&gt;0,I35/I31,0)</f>
        <v/>
      </c>
      <c r="J39" s="218">
        <f>IF(J31&gt;0,J35/J31,0)</f>
        <v/>
      </c>
      <c r="K39" s="218">
        <f>IF(K31&gt;0,K35/K31,0)</f>
        <v/>
      </c>
      <c r="L39" s="218">
        <f>IF(L31&gt;0,L35/L31,0)</f>
        <v/>
      </c>
      <c r="M39" s="218">
        <f>IF(M31&gt;0,M35/M31,0)</f>
        <v/>
      </c>
      <c r="N39" s="218">
        <f>IF(N31&gt;0,N35/N31,0)</f>
        <v/>
      </c>
      <c r="O39" s="218">
        <f>IF(O31&gt;0,O35/O31,0)</f>
        <v/>
      </c>
      <c r="P39" s="218">
        <f>IF(P31&gt;0,P35/P31,0)</f>
        <v/>
      </c>
      <c r="Q39" s="218">
        <f>IF(Q31&gt;0,Q35/Q31,0)</f>
        <v/>
      </c>
      <c r="R39" s="218">
        <f>IF(R31&gt;0,R35/R31,0)</f>
        <v/>
      </c>
      <c r="T39" t="inlineStr">
        <is>
          <t>Decision metric: acquisition spend ÷ total orders.</t>
        </is>
      </c>
    </row>
    <row r="40">
      <c r="D40" t="inlineStr">
        <is>
          <t>Fully-loaded CAC (incl. tools)</t>
        </is>
      </c>
      <c r="E40" t="inlineStr">
        <is>
          <t>EUR</t>
        </is>
      </c>
      <c r="G40" s="218">
        <f>IF(G31&gt;0,(G35+G36)/G31,0)</f>
        <v/>
      </c>
      <c r="H40" s="218">
        <f>IF(H31&gt;0,(H35+H36)/H31,0)</f>
        <v/>
      </c>
      <c r="I40" s="218">
        <f>IF(I31&gt;0,(I35+I36)/I31,0)</f>
        <v/>
      </c>
      <c r="J40" s="218">
        <f>IF(J31&gt;0,(J35+J36)/J31,0)</f>
        <v/>
      </c>
      <c r="K40" s="218">
        <f>IF(K31&gt;0,(K35+K36)/K31,0)</f>
        <v/>
      </c>
      <c r="L40" s="218">
        <f>IF(L31&gt;0,(L35+L36)/L31,0)</f>
        <v/>
      </c>
      <c r="M40" s="218">
        <f>IF(M31&gt;0,(M35+M36)/M31,0)</f>
        <v/>
      </c>
      <c r="N40" s="218">
        <f>IF(N31&gt;0,(N35+N36)/N31,0)</f>
        <v/>
      </c>
      <c r="O40" s="218">
        <f>IF(O31&gt;0,(O35+O36)/O31,0)</f>
        <v/>
      </c>
      <c r="P40" s="218">
        <f>IF(P31&gt;0,(P35+P36)/P31,0)</f>
        <v/>
      </c>
      <c r="Q40" s="218">
        <f>IF(Q31&gt;0,(Q35+Q36)/Q31,0)</f>
        <v/>
      </c>
      <c r="R40" s="218">
        <f>IF(R31&gt;0,(R35+R36)/R31,0)</f>
        <v/>
      </c>
    </row>
    <row r="44">
      <c r="D44" s="219" t="inlineStr">
        <is>
          <t>Content tools breakdown (drives row 22)</t>
        </is>
      </c>
    </row>
    <row r="45">
      <c r="D45" t="inlineStr">
        <is>
          <t>Tool</t>
        </is>
      </c>
      <c r="E45" t="inlineStr">
        <is>
          <t>EUR/mo</t>
        </is>
      </c>
      <c r="T45" t="inlineStr">
        <is>
          <t>What it's for</t>
        </is>
      </c>
    </row>
    <row r="46">
      <c r="D46" t="inlineStr">
        <is>
          <t>Canva Pro</t>
        </is>
      </c>
      <c r="E46" t="inlineStr">
        <is>
          <t>EUR</t>
        </is>
      </c>
      <c r="G46" s="175" t="n">
        <v>0</v>
      </c>
      <c r="H46" s="175" t="n">
        <v>0</v>
      </c>
      <c r="I46" s="175" t="n">
        <v>12</v>
      </c>
      <c r="J46" s="175" t="n">
        <v>12</v>
      </c>
      <c r="K46" s="175" t="n">
        <v>12</v>
      </c>
      <c r="L46" s="175" t="n">
        <v>12</v>
      </c>
      <c r="M46" s="175" t="n">
        <v>12</v>
      </c>
      <c r="N46" s="175" t="n">
        <v>12</v>
      </c>
      <c r="O46" s="175" t="n">
        <v>12</v>
      </c>
      <c r="P46" s="175" t="n">
        <v>12</v>
      </c>
      <c r="Q46" s="175" t="n">
        <v>12</v>
      </c>
      <c r="R46" s="175" t="n">
        <v>12</v>
      </c>
      <c r="T46" t="inlineStr">
        <is>
          <t>Hub: layout, resizing, scheduling, Veo video</t>
        </is>
      </c>
    </row>
    <row r="47">
      <c r="D47" t="inlineStr">
        <is>
          <t>Midjourney</t>
        </is>
      </c>
      <c r="E47" t="inlineStr">
        <is>
          <t>EUR</t>
        </is>
      </c>
      <c r="G47" s="175" t="n">
        <v>0</v>
      </c>
      <c r="H47" s="175" t="n">
        <v>0</v>
      </c>
      <c r="I47" s="175" t="n">
        <v>10</v>
      </c>
      <c r="J47" s="175" t="n">
        <v>10</v>
      </c>
      <c r="K47" s="175" t="n">
        <v>15</v>
      </c>
      <c r="L47" s="175" t="n">
        <v>15</v>
      </c>
      <c r="M47" s="175" t="n">
        <v>15</v>
      </c>
      <c r="N47" s="175" t="n">
        <v>15</v>
      </c>
      <c r="O47" s="175" t="n">
        <v>20</v>
      </c>
      <c r="P47" s="175" t="n">
        <v>20</v>
      </c>
      <c r="Q47" s="175" t="n">
        <v>20</v>
      </c>
      <c r="R47" s="175" t="n">
        <v>20</v>
      </c>
      <c r="T47" t="inlineStr">
        <is>
          <t>Editorial hero imagery (real assets, no fake people)</t>
        </is>
      </c>
    </row>
    <row r="48">
      <c r="D48" t="inlineStr">
        <is>
          <t>CapCut Pro</t>
        </is>
      </c>
      <c r="E48" t="inlineStr">
        <is>
          <t>EUR</t>
        </is>
      </c>
      <c r="G48" s="175" t="n">
        <v>0</v>
      </c>
      <c r="H48" s="175" t="n">
        <v>0</v>
      </c>
      <c r="I48" s="175" t="n">
        <v>0</v>
      </c>
      <c r="J48" s="175" t="n">
        <v>0</v>
      </c>
      <c r="K48" s="175" t="n">
        <v>18</v>
      </c>
      <c r="L48" s="175" t="n">
        <v>18</v>
      </c>
      <c r="M48" s="175" t="n">
        <v>18</v>
      </c>
      <c r="N48" s="175" t="n">
        <v>18</v>
      </c>
      <c r="O48" s="175" t="n">
        <v>18</v>
      </c>
      <c r="P48" s="175" t="n">
        <v>18</v>
      </c>
      <c r="Q48" s="175" t="n">
        <v>18</v>
      </c>
      <c r="R48" s="175" t="n">
        <v>18</v>
      </c>
      <c r="T48" t="inlineStr">
        <is>
          <t>Reels / short-form video editing</t>
        </is>
      </c>
    </row>
    <row r="49">
      <c r="D49" t="inlineStr">
        <is>
          <t>Video credits (Kling/Veo)</t>
        </is>
      </c>
      <c r="E49" t="inlineStr">
        <is>
          <t>EUR</t>
        </is>
      </c>
      <c r="G49" s="175" t="n">
        <v>0</v>
      </c>
      <c r="H49" s="175" t="n">
        <v>0</v>
      </c>
      <c r="I49" s="175" t="n">
        <v>28</v>
      </c>
      <c r="J49" s="175" t="n">
        <v>28</v>
      </c>
      <c r="K49" s="175" t="n">
        <v>25</v>
      </c>
      <c r="L49" s="175" t="n">
        <v>25</v>
      </c>
      <c r="M49" s="175" t="n">
        <v>25</v>
      </c>
      <c r="N49" s="175" t="n">
        <v>25</v>
      </c>
      <c r="O49" s="175" t="n">
        <v>50</v>
      </c>
      <c r="P49" s="175" t="n">
        <v>50</v>
      </c>
      <c r="Q49" s="175" t="n">
        <v>50</v>
      </c>
      <c r="R49" s="175" t="n">
        <v>50</v>
      </c>
      <c r="T49" t="inlineStr">
        <is>
          <t>Motion-video top-ups; scales as video grows</t>
        </is>
      </c>
    </row>
    <row r="50">
      <c r="D50" t="inlineStr">
        <is>
          <t>Claude / ChatGPT</t>
        </is>
      </c>
      <c r="E50" t="inlineStr">
        <is>
          <t>EUR</t>
        </is>
      </c>
      <c r="G50" s="175" t="n">
        <v>0</v>
      </c>
      <c r="H50" s="175" t="n">
        <v>0</v>
      </c>
      <c r="I50" s="175" t="n">
        <v>0</v>
      </c>
      <c r="J50" s="175" t="n">
        <v>0</v>
      </c>
      <c r="K50" s="175" t="n">
        <v>0</v>
      </c>
      <c r="L50" s="175" t="n">
        <v>0</v>
      </c>
      <c r="M50" s="175" t="n">
        <v>0</v>
      </c>
      <c r="N50" s="175" t="n">
        <v>0</v>
      </c>
      <c r="O50" s="175" t="n">
        <v>0</v>
      </c>
      <c r="P50" s="175" t="n">
        <v>0</v>
      </c>
      <c r="Q50" s="175" t="n">
        <v>0</v>
      </c>
      <c r="R50" s="175" t="n">
        <v>0</v>
      </c>
      <c r="T50" t="inlineStr">
        <is>
          <t>Captions &amp; copy — already owned, EUR 0</t>
        </is>
      </c>
    </row>
    <row r="51">
      <c r="D51" t="inlineStr">
        <is>
          <t>Meta Business Suite</t>
        </is>
      </c>
      <c r="E51" t="inlineStr">
        <is>
          <t>EUR</t>
        </is>
      </c>
      <c r="G51" s="175" t="n">
        <v>0</v>
      </c>
      <c r="H51" s="175" t="n">
        <v>0</v>
      </c>
      <c r="I51" s="175" t="n">
        <v>0</v>
      </c>
      <c r="J51" s="175" t="n">
        <v>0</v>
      </c>
      <c r="K51" s="175" t="n">
        <v>0</v>
      </c>
      <c r="L51" s="175" t="n">
        <v>0</v>
      </c>
      <c r="M51" s="175" t="n">
        <v>0</v>
      </c>
      <c r="N51" s="175" t="n">
        <v>0</v>
      </c>
      <c r="O51" s="175" t="n">
        <v>0</v>
      </c>
      <c r="P51" s="175" t="n">
        <v>0</v>
      </c>
      <c r="Q51" s="175" t="n">
        <v>0</v>
      </c>
      <c r="R51" s="175" t="n">
        <v>0</v>
      </c>
      <c r="T51" t="inlineStr">
        <is>
          <t>Scheduling — free</t>
        </is>
      </c>
    </row>
    <row r="52">
      <c r="D52" s="219" t="inlineStr">
        <is>
          <t>Total tools / month</t>
        </is>
      </c>
      <c r="E52" t="inlineStr">
        <is>
          <t>EUR</t>
        </is>
      </c>
      <c r="G52" s="175">
        <f>SUM(G46:G51)</f>
        <v/>
      </c>
      <c r="H52" s="175">
        <f>SUM(H46:H51)</f>
        <v/>
      </c>
      <c r="I52" s="175">
        <f>SUM(I46:I51)</f>
        <v/>
      </c>
      <c r="J52" s="175">
        <f>SUM(J46:J51)</f>
        <v/>
      </c>
      <c r="K52" s="175">
        <f>SUM(K46:K51)</f>
        <v/>
      </c>
      <c r="L52" s="175">
        <f>SUM(L46:L51)</f>
        <v/>
      </c>
      <c r="M52" s="175">
        <f>SUM(M46:M51)</f>
        <v/>
      </c>
      <c r="N52" s="175">
        <f>SUM(N46:N51)</f>
        <v/>
      </c>
      <c r="O52" s="175">
        <f>SUM(O46:O51)</f>
        <v/>
      </c>
      <c r="P52" s="175">
        <f>SUM(P46:P51)</f>
        <v/>
      </c>
      <c r="Q52" s="175">
        <f>SUM(Q46:Q51)</f>
        <v/>
      </c>
      <c r="R52" s="175">
        <f>SUM(R46:R51)</f>
        <v/>
      </c>
    </row>
    <row r="54">
      <c r="D54" t="inlineStr">
        <is>
          <t>Repeat rate (~within 18 months)</t>
        </is>
      </c>
      <c r="F54" t="n">
        <v>0.2</v>
      </c>
      <c r="T54" t="inlineStr">
        <is>
          <t>Research ~20%. Applied with a ~12-month (4-quarter) lag; repeat orders carry NO CAC.</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B2:E20"/>
  <sheetViews>
    <sheetView zoomScale="69" zoomScaleNormal="69" workbookViewId="0">
      <selection activeCell="C3" sqref="C3"/>
    </sheetView>
  </sheetViews>
  <sheetFormatPr baseColWidth="8" defaultRowHeight="14.4"/>
  <cols>
    <col width="36.33203125" customWidth="1" style="180" min="2" max="5"/>
  </cols>
  <sheetData>
    <row r="2">
      <c r="B2" s="8" t="inlineStr">
        <is>
          <t>Metric</t>
        </is>
      </c>
      <c r="C2" s="8" t="n">
        <v>2026</v>
      </c>
      <c r="D2" s="8" t="n">
        <v>2027</v>
      </c>
      <c r="E2" s="8" t="n">
        <v>2028</v>
      </c>
    </row>
    <row r="3" ht="15.6" customHeight="1" s="180">
      <c r="B3" s="87" t="inlineStr">
        <is>
          <t>Operating costs</t>
        </is>
      </c>
      <c r="C3" s="220">
        <f>SUM(C4:C8)</f>
        <v/>
      </c>
      <c r="D3" s="220">
        <f>SUM(D4:D8)</f>
        <v/>
      </c>
      <c r="E3" s="220">
        <f>SUM(E4:E8)</f>
        <v/>
      </c>
    </row>
    <row r="4" ht="15.6" customHeight="1" s="180">
      <c r="B4" s="88" t="inlineStr">
        <is>
          <t>COGS</t>
        </is>
      </c>
      <c r="C4" s="221">
        <f>'Business case - old'!M31</f>
        <v/>
      </c>
      <c r="D4" s="221">
        <f>'Business case - old'!N31</f>
        <v/>
      </c>
      <c r="E4" s="221">
        <f>'Business case - old'!O31</f>
        <v/>
      </c>
    </row>
    <row r="5" ht="15.6" customHeight="1" s="180">
      <c r="B5" s="89" t="inlineStr">
        <is>
          <t>Printing</t>
        </is>
      </c>
      <c r="C5" s="222">
        <f>'Business case - old'!M32</f>
        <v/>
      </c>
      <c r="D5" s="222">
        <f>'Business case - old'!N32</f>
        <v/>
      </c>
      <c r="E5" s="222">
        <f>'Business case - old'!O32</f>
        <v/>
      </c>
    </row>
    <row r="6" ht="15.6" customHeight="1" s="180">
      <c r="B6" s="89" t="inlineStr">
        <is>
          <t>Packaging &amp; Delivery</t>
        </is>
      </c>
      <c r="C6" s="222">
        <f>'Business case - old'!M33+'Business case - old'!M35</f>
        <v/>
      </c>
      <c r="D6" s="222">
        <f>'Business case - old'!N33+'Business case - old'!N35</f>
        <v/>
      </c>
      <c r="E6" s="222">
        <f>'Business case - old'!O33+'Business case - old'!O35</f>
        <v/>
      </c>
    </row>
    <row r="7" ht="15.6" customHeight="1" s="180">
      <c r="B7" s="89" t="inlineStr">
        <is>
          <t>Artist royalty (2% of revenue)</t>
        </is>
      </c>
      <c r="C7" s="222">
        <f>'Business case - old'!M36</f>
        <v/>
      </c>
      <c r="D7" s="222">
        <f>'Business case - old'!N36</f>
        <v/>
      </c>
      <c r="E7" s="222">
        <f>'Business case - old'!O36</f>
        <v/>
      </c>
    </row>
    <row r="8" ht="15.6" customHeight="1" s="180">
      <c r="B8" s="89" t="inlineStr">
        <is>
          <t>Payment processing &amp; Cloud</t>
        </is>
      </c>
      <c r="C8" s="222">
        <f>'Business case - old'!M37+'Business case - old'!M34</f>
        <v/>
      </c>
      <c r="D8" s="222">
        <f>'Business case - old'!N37+'Business case - old'!N34</f>
        <v/>
      </c>
      <c r="E8" s="222">
        <f>'Business case - old'!O37+'Business case - old'!O34</f>
        <v/>
      </c>
    </row>
    <row r="9" ht="15.6" customHeight="1" s="180">
      <c r="B9" s="88" t="inlineStr">
        <is>
          <t>Salaries</t>
        </is>
      </c>
      <c r="C9" s="221">
        <f>SUM(C10:C12)</f>
        <v/>
      </c>
      <c r="D9" s="221">
        <f>SUM(D10:D12)</f>
        <v/>
      </c>
      <c r="E9" s="221">
        <f>SUM(E10:E12)</f>
        <v/>
      </c>
    </row>
    <row r="10" ht="15.6" customHeight="1" s="180">
      <c r="B10" s="89" t="inlineStr">
        <is>
          <t xml:space="preserve">Net salary for Founders </t>
        </is>
      </c>
      <c r="C10" s="222">
        <f>'Business case - old'!M40</f>
        <v/>
      </c>
      <c r="D10" s="222">
        <f>'Business case - old'!N40</f>
        <v/>
      </c>
      <c r="E10" s="222">
        <f>'Business case - old'!O40</f>
        <v/>
      </c>
    </row>
    <row r="11" ht="31.2" customHeight="1" s="180">
      <c r="B11" s="89" t="inlineStr">
        <is>
          <t>Net salary for Customer service and Designer (contractor)</t>
        </is>
      </c>
      <c r="C11" s="222">
        <f>'Business case - old'!M41</f>
        <v/>
      </c>
      <c r="D11" s="222">
        <f>'Business case - old'!N41</f>
        <v/>
      </c>
      <c r="E11" s="222">
        <f>'Business case - old'!O41</f>
        <v/>
      </c>
    </row>
    <row r="12" ht="15.6" customHeight="1" s="180">
      <c r="B12" s="89" t="inlineStr">
        <is>
          <t>Social insurance &amp; Wage tax</t>
        </is>
      </c>
      <c r="C12" s="222">
        <f>'Business case - old'!M42</f>
        <v/>
      </c>
      <c r="D12" s="222">
        <f>'Business case - old'!N42</f>
        <v/>
      </c>
      <c r="E12" s="222">
        <f>'Business case - old'!O42</f>
        <v/>
      </c>
    </row>
    <row r="13" ht="15.6" customHeight="1" s="180">
      <c r="B13" s="88" t="inlineStr">
        <is>
          <t>Marketing (5-10% of revenue)</t>
        </is>
      </c>
      <c r="C13" s="223">
        <f>'Business case - old'!M44</f>
        <v/>
      </c>
      <c r="D13" s="223">
        <f>'Business case - old'!N44</f>
        <v/>
      </c>
      <c r="E13" s="223">
        <f>'Business case - old'!O44</f>
        <v/>
      </c>
    </row>
    <row r="14" ht="31.2" customHeight="1" s="180">
      <c r="B14" s="88" t="inlineStr">
        <is>
          <t>Design cost (# templates per year = 16)</t>
        </is>
      </c>
      <c r="C14" s="223">
        <f>'Business case - old'!M49</f>
        <v/>
      </c>
      <c r="D14" s="223">
        <f>'Business case - old'!N49</f>
        <v/>
      </c>
      <c r="E14" s="223">
        <f>'Business case - old'!O49</f>
        <v/>
      </c>
    </row>
    <row r="15" ht="15.6" customHeight="1" s="180">
      <c r="B15" s="88" t="inlineStr">
        <is>
          <t>IT (hosting, licences, etc.)</t>
        </is>
      </c>
      <c r="C15" s="221">
        <f>'Business case - old'!M53</f>
        <v/>
      </c>
      <c r="D15" s="221">
        <f>'Business case - old'!N53</f>
        <v/>
      </c>
      <c r="E15" s="221">
        <f>'Business case - old'!O53</f>
        <v/>
      </c>
    </row>
    <row r="16" ht="15.6" customHeight="1" s="180">
      <c r="B16" s="88" t="inlineStr">
        <is>
          <t>Corporate overhead</t>
        </is>
      </c>
      <c r="C16" s="221">
        <f>SUM(C17:C19)</f>
        <v/>
      </c>
      <c r="D16" s="221">
        <f>SUM(D17:D19)</f>
        <v/>
      </c>
      <c r="E16" s="221">
        <f>SUM(E17:E19)</f>
        <v/>
      </c>
    </row>
    <row r="17" ht="15.6" customHeight="1" s="180">
      <c r="B17" s="90" t="inlineStr">
        <is>
          <t>Company registration</t>
        </is>
      </c>
      <c r="C17" s="224">
        <f>'Business case - old'!M58</f>
        <v/>
      </c>
      <c r="D17" s="224">
        <f>'Business case - old'!N58</f>
        <v/>
      </c>
      <c r="E17" s="224">
        <f>'Business case - old'!O58</f>
        <v/>
      </c>
    </row>
    <row r="18" ht="15.6" customHeight="1" s="180">
      <c r="B18" s="90" t="inlineStr">
        <is>
          <t>Trademark registration</t>
        </is>
      </c>
      <c r="C18" s="224">
        <f>'Business case - old'!M59</f>
        <v/>
      </c>
      <c r="D18" s="224">
        <f>'Business case - old'!N59</f>
        <v/>
      </c>
      <c r="E18" s="224">
        <f>'Business case - old'!O59</f>
        <v/>
      </c>
    </row>
    <row r="19" ht="15.6" customHeight="1" s="180">
      <c r="B19" s="90" t="inlineStr">
        <is>
          <t>Accountant</t>
        </is>
      </c>
      <c r="C19" s="224">
        <f>'Business case - old'!M60</f>
        <v/>
      </c>
      <c r="D19" s="224">
        <f>'Business case - old'!N60</f>
        <v/>
      </c>
      <c r="E19" s="224">
        <f>'Business case - old'!O60</f>
        <v/>
      </c>
    </row>
    <row r="20" ht="15.6" customHeight="1" s="180">
      <c r="B20" s="88" t="inlineStr">
        <is>
          <t>Contingency (5%)</t>
        </is>
      </c>
      <c r="C20" s="225">
        <f>'Business case - old'!M69</f>
        <v/>
      </c>
      <c r="D20" s="225">
        <f>'Business case - old'!N69</f>
        <v/>
      </c>
      <c r="E20" s="225">
        <f>'Business case - old'!O69</f>
        <v/>
      </c>
    </row>
  </sheetData>
  <pageMargins left="0.7" right="0.7" top="0.75" bottom="0.75" header="0.3" footer="0.3"/>
  <pageSetup orientation="portrait" paperSize="9"/>
</worksheet>
</file>

<file path=xl/worksheets/sheet6.xml><?xml version="1.0" encoding="utf-8"?>
<worksheet xmlns="http://schemas.openxmlformats.org/spreadsheetml/2006/main">
  <sheetPr>
    <outlinePr summaryBelow="1" summaryRight="1"/>
    <pageSetUpPr/>
  </sheetPr>
  <dimension ref="B2:H56"/>
  <sheetViews>
    <sheetView topLeftCell="A28" workbookViewId="0">
      <selection activeCell="F28" sqref="F28"/>
    </sheetView>
  </sheetViews>
  <sheetFormatPr baseColWidth="8" defaultRowHeight="14.4"/>
  <cols>
    <col width="3.6640625" customWidth="1" style="180" min="1" max="1"/>
    <col width="6.44140625" customWidth="1" style="180" min="2" max="2"/>
    <col width="2.77734375" customWidth="1" style="180" min="3" max="3"/>
    <col width="46.33203125" customWidth="1" style="180" min="4" max="4"/>
    <col width="13" customWidth="1" style="180" min="5" max="5"/>
    <col width="17.5546875" customWidth="1" style="180" min="6" max="8"/>
  </cols>
  <sheetData>
    <row r="2" ht="18" customHeight="1" s="180">
      <c r="B2" s="128" t="inlineStr">
        <is>
          <t>Founder income &amp; Austrian tax (Einzelunternehmer)</t>
        </is>
      </c>
    </row>
    <row r="3">
      <c r="D3" s="129" t="inlineStr">
        <is>
          <t>Sole trader: no salary. Business profit IS the taxable income. Only SVS contributions are deductible; income tax is private.</t>
        </is>
      </c>
    </row>
    <row r="5">
      <c r="D5" s="142" t="inlineStr">
        <is>
          <t>Metric</t>
        </is>
      </c>
      <c r="E5" s="142" t="inlineStr">
        <is>
          <t>Unit</t>
        </is>
      </c>
      <c r="F5" s="143" t="n">
        <v>2026</v>
      </c>
      <c r="G5" s="143" t="n">
        <v>2027</v>
      </c>
      <c r="H5" s="143" t="n">
        <v>2028</v>
      </c>
    </row>
    <row r="6">
      <c r="D6" s="130" t="inlineStr">
        <is>
          <t>2026 covers H2 only (Q3+Q4) - the model starts in 3Q 2026.</t>
        </is>
      </c>
    </row>
    <row r="8" ht="15.6" customHeight="1" s="180">
      <c r="D8" s="131" t="inlineStr">
        <is>
          <t>1. Operating result</t>
        </is>
      </c>
    </row>
    <row r="9">
      <c r="D9" t="inlineStr">
        <is>
          <t>Net sales</t>
        </is>
      </c>
      <c r="E9" t="inlineStr">
        <is>
          <t>EUR</t>
        </is>
      </c>
      <c r="F9" s="226">
        <f>SUMIF('Business case - Quarterly view'!$I$8:$R$8,F$5,'Business case - Quarterly view'!$I$38:$R$38)</f>
        <v/>
      </c>
      <c r="G9" s="226">
        <f>SUMIF('Business case - Quarterly view'!$I$8:$R$8,G$5,'Business case - Quarterly view'!$I$38:$R$38)</f>
        <v/>
      </c>
      <c r="H9" s="226">
        <f>SUMIF('Business case - Quarterly view'!$I$8:$R$8,H$5,'Business case - Quarterly view'!$I$38:$R$38)</f>
        <v/>
      </c>
    </row>
    <row r="10">
      <c r="D10" t="inlineStr">
        <is>
          <t>COGS</t>
        </is>
      </c>
      <c r="E10" t="inlineStr">
        <is>
          <t>EUR</t>
        </is>
      </c>
      <c r="F10" s="226">
        <f>SUMIF('Business case - Quarterly view'!$I$8:$R$8,F$5,'Business case - Quarterly view'!$I$49:$R$49)</f>
        <v/>
      </c>
      <c r="G10" s="226">
        <f>SUMIF('Business case - Quarterly view'!$I$8:$R$8,G$5,'Business case - Quarterly view'!$I$49:$R$49)</f>
        <v/>
      </c>
      <c r="H10" s="226">
        <f>SUMIF('Business case - Quarterly view'!$I$8:$R$8,H$5,'Business case - Quarterly view'!$I$49:$R$49)</f>
        <v/>
      </c>
    </row>
    <row r="11">
      <c r="D11" t="inlineStr">
        <is>
          <t>Design costs</t>
        </is>
      </c>
      <c r="E11" t="inlineStr">
        <is>
          <t>EUR</t>
        </is>
      </c>
      <c r="F11" s="226">
        <f>SUMIF('Business case - Quarterly view'!$I$8:$R$8,F$5,'Business case - Quarterly view'!$I$58:$R$58)</f>
        <v/>
      </c>
      <c r="G11" s="226">
        <f>SUMIF('Business case - Quarterly view'!$I$8:$R$8,G$5,'Business case - Quarterly view'!$I$58:$R$58)</f>
        <v/>
      </c>
      <c r="H11" s="226">
        <f>SUMIF('Business case - Quarterly view'!$I$8:$R$8,H$5,'Business case - Quarterly view'!$I$58:$R$58)</f>
        <v/>
      </c>
    </row>
    <row r="12">
      <c r="D12" t="inlineStr">
        <is>
          <t>Operations</t>
        </is>
      </c>
      <c r="E12" t="inlineStr">
        <is>
          <t>EUR</t>
        </is>
      </c>
      <c r="F12" s="226">
        <f>SUMIF('Business case - Quarterly view'!$I$8:$R$8,F$5,'Business case - Quarterly view'!$I$66:$R$66)</f>
        <v/>
      </c>
      <c r="G12" s="226">
        <f>SUMIF('Business case - Quarterly view'!$I$8:$R$8,G$5,'Business case - Quarterly view'!$I$66:$R$66)</f>
        <v/>
      </c>
      <c r="H12" s="226">
        <f>SUMIF('Business case - Quarterly view'!$I$8:$R$8,H$5,'Business case - Quarterly view'!$I$66:$R$66)</f>
        <v/>
      </c>
    </row>
    <row r="13">
      <c r="D13" t="inlineStr">
        <is>
          <t>Corporate overhead</t>
        </is>
      </c>
      <c r="E13" t="inlineStr">
        <is>
          <t>EUR</t>
        </is>
      </c>
      <c r="F13" s="226">
        <f>SUMIF('Business case - Quarterly view'!$I$8:$R$8,F$5,'Business case - Quarterly view'!$I$70:$R$70)</f>
        <v/>
      </c>
      <c r="G13" s="226">
        <f>SUMIF('Business case - Quarterly view'!$I$8:$R$8,G$5,'Business case - Quarterly view'!$I$70:$R$70)</f>
        <v/>
      </c>
      <c r="H13" s="226">
        <f>SUMIF('Business case - Quarterly view'!$I$8:$R$8,H$5,'Business case - Quarterly view'!$I$70:$R$70)</f>
        <v/>
      </c>
    </row>
    <row r="14">
      <c r="D14" t="inlineStr">
        <is>
          <t>Freelancers (designer)</t>
        </is>
      </c>
      <c r="E14" t="inlineStr">
        <is>
          <t>EUR</t>
        </is>
      </c>
      <c r="F14" s="226">
        <f>SUMIF('Business case - Quarterly view'!$I$8:$R$8,F$5,'Business case - Quarterly view'!$I$80:$R$80)</f>
        <v/>
      </c>
      <c r="G14" s="226">
        <f>SUMIF('Business case - Quarterly view'!$I$8:$R$8,G$5,'Business case - Quarterly view'!$I$80:$R$80)</f>
        <v/>
      </c>
      <c r="H14" s="226">
        <f>SUMIF('Business case - Quarterly view'!$I$8:$R$8,H$5,'Business case - Quarterly view'!$I$80:$R$80)</f>
        <v/>
      </c>
    </row>
    <row r="15">
      <c r="D15" t="inlineStr">
        <is>
          <t>Marketing</t>
        </is>
      </c>
      <c r="E15" t="inlineStr">
        <is>
          <t>EUR</t>
        </is>
      </c>
      <c r="F15" s="227">
        <f>SUMIF('Business case - Quarterly view'!$I$8:$R$8,F$5,'Business case - Quarterly view'!$I$84:$R$84)</f>
        <v/>
      </c>
      <c r="G15" s="227">
        <f>SUMIF('Business case - Quarterly view'!$I$8:$R$8,G$5,'Business case - Quarterly view'!$I$84:$R$84)</f>
        <v/>
      </c>
      <c r="H15" s="227">
        <f>SUMIF('Business case - Quarterly view'!$I$8:$R$8,H$5,'Business case - Quarterly view'!$I$84:$R$84)</f>
        <v/>
      </c>
    </row>
    <row r="16">
      <c r="D16" s="144" t="inlineStr">
        <is>
          <t>Profit before SVS &amp; tax</t>
        </is>
      </c>
      <c r="E16" s="145" t="inlineStr">
        <is>
          <t>EUR</t>
        </is>
      </c>
      <c r="F16" s="228">
        <f>SUM(F9:F15)</f>
        <v/>
      </c>
      <c r="G16" s="228">
        <f>SUM(G9:G15)</f>
        <v/>
      </c>
      <c r="H16" s="228">
        <f>SUM(H9:H15)</f>
        <v/>
      </c>
    </row>
    <row r="18" ht="15.6" customHeight="1" s="180">
      <c r="D18" s="131" t="inlineStr">
        <is>
          <t>2. SVS social security contributions</t>
        </is>
      </c>
    </row>
    <row r="19" ht="15.6" customHeight="1" s="180">
      <c r="D19" s="137" t="inlineStr">
        <is>
          <t>Months of SVS liability</t>
        </is>
      </c>
      <c r="E19" t="inlineStr">
        <is>
          <t>#</t>
        </is>
      </c>
      <c r="F19" s="150" t="n">
        <v>6</v>
      </c>
      <c r="G19" s="150" t="n">
        <v>12</v>
      </c>
      <c r="H19" s="150" t="n">
        <v>12</v>
      </c>
    </row>
    <row r="20">
      <c r="D20" s="129" t="inlineStr">
        <is>
          <t>Contribution base before floor/cap</t>
        </is>
      </c>
      <c r="E20" t="inlineStr">
        <is>
          <t>EUR</t>
        </is>
      </c>
      <c r="F20" s="229">
        <f>MAX(0,F16)</f>
        <v/>
      </c>
      <c r="G20" s="229">
        <f>MAX(0,G16)</f>
        <v/>
      </c>
      <c r="H20" s="229">
        <f>MAX(0,H16)</f>
        <v/>
      </c>
    </row>
    <row r="21">
      <c r="D21" s="129" t="inlineStr">
        <is>
          <t>Minimum base (period)</t>
        </is>
      </c>
      <c r="E21" t="inlineStr">
        <is>
          <t>EUR</t>
        </is>
      </c>
      <c r="F21" s="230">
        <f>Assumptions!$F$95*F$19</f>
        <v/>
      </c>
      <c r="G21" s="230">
        <f>Assumptions!$F$95*G$19</f>
        <v/>
      </c>
      <c r="H21" s="230">
        <f>Assumptions!$F$95*H$19</f>
        <v/>
      </c>
    </row>
    <row r="22">
      <c r="D22" s="129" t="inlineStr">
        <is>
          <t>Maximum base (period)</t>
        </is>
      </c>
      <c r="E22" t="inlineStr">
        <is>
          <t>EUR</t>
        </is>
      </c>
      <c r="F22" s="230">
        <f>Assumptions!$F$96*F$19</f>
        <v/>
      </c>
      <c r="G22" s="230">
        <f>Assumptions!$F$96*G$19</f>
        <v/>
      </c>
      <c r="H22" s="230">
        <f>Assumptions!$F$96*H$19</f>
        <v/>
      </c>
    </row>
    <row r="23">
      <c r="D23" s="129" t="inlineStr">
        <is>
          <t>Contribution base applied</t>
        </is>
      </c>
      <c r="E23" t="inlineStr">
        <is>
          <t>EUR</t>
        </is>
      </c>
      <c r="F23" s="231">
        <f>MIN(MAX(F20,F21),F22)</f>
        <v/>
      </c>
      <c r="G23" s="231">
        <f>MIN(MAX(G20,G21),G22)</f>
        <v/>
      </c>
      <c r="H23" s="231">
        <f>MIN(MAX(H20,H21),H22)</f>
        <v/>
      </c>
    </row>
    <row r="24">
      <c r="D24" s="129" t="inlineStr">
        <is>
          <t>Pension insurance (PV)</t>
        </is>
      </c>
      <c r="E24" t="inlineStr">
        <is>
          <t>EUR</t>
        </is>
      </c>
      <c r="F24" s="231">
        <f>-F23*Assumptions!$F$90</f>
        <v/>
      </c>
      <c r="G24" s="231">
        <f>-G23*Assumptions!$F$90</f>
        <v/>
      </c>
      <c r="H24" s="231">
        <f>-H23*Assumptions!$F$90</f>
        <v/>
      </c>
    </row>
    <row r="25">
      <c r="D25" s="129" t="inlineStr">
        <is>
          <t>Health insurance (KV)</t>
        </is>
      </c>
      <c r="E25" t="inlineStr">
        <is>
          <t>EUR</t>
        </is>
      </c>
      <c r="F25" s="231">
        <f>-F23*Assumptions!$F$91</f>
        <v/>
      </c>
      <c r="G25" s="231">
        <f>-G23*Assumptions!$F$91</f>
        <v/>
      </c>
      <c r="H25" s="231">
        <f>-H23*Assumptions!$F$91</f>
        <v/>
      </c>
    </row>
    <row r="26">
      <c r="D26" s="129" t="inlineStr">
        <is>
          <t>Self-employment provision</t>
        </is>
      </c>
      <c r="E26" t="inlineStr">
        <is>
          <t>EUR</t>
        </is>
      </c>
      <c r="F26" s="231">
        <f>-F23*Assumptions!$F$92</f>
        <v/>
      </c>
      <c r="G26" s="231">
        <f>-G23*Assumptions!$F$92</f>
        <v/>
      </c>
      <c r="H26" s="231">
        <f>-H23*Assumptions!$F$92</f>
        <v/>
      </c>
    </row>
    <row r="27">
      <c r="D27" s="129" t="inlineStr">
        <is>
          <t>Accident insurance (UV, flat)</t>
        </is>
      </c>
      <c r="E27" t="inlineStr">
        <is>
          <t>EUR</t>
        </is>
      </c>
      <c r="F27" s="231">
        <f>-Assumptions!$F$94*F$19</f>
        <v/>
      </c>
      <c r="G27" s="231">
        <f>-Assumptions!$F$94*G$19</f>
        <v/>
      </c>
      <c r="H27" s="231">
        <f>-Assumptions!$F$94*H$19</f>
        <v/>
      </c>
    </row>
    <row r="28">
      <c r="D28" s="147" t="inlineStr">
        <is>
          <t>Total SVS contributions</t>
        </is>
      </c>
      <c r="E28" s="145" t="inlineStr">
        <is>
          <t>EUR</t>
        </is>
      </c>
      <c r="F28" s="228">
        <f>SUM(F24:F27)</f>
        <v/>
      </c>
      <c r="G28" s="228">
        <f>SUM(G24:G27)</f>
        <v/>
      </c>
      <c r="H28" s="228">
        <f>SUM(H24:H27)</f>
        <v/>
      </c>
    </row>
    <row r="30" ht="15.6" customHeight="1" s="180">
      <c r="D30" s="137" t="inlineStr">
        <is>
          <t>3. Income tax</t>
        </is>
      </c>
    </row>
    <row r="31">
      <c r="D31" s="7" t="inlineStr">
        <is>
          <t>Profit after SVS (Gewinn)</t>
        </is>
      </c>
      <c r="E31" t="inlineStr">
        <is>
          <t>EUR</t>
        </is>
      </c>
      <c r="F31" s="232">
        <f>F16+F28</f>
        <v/>
      </c>
      <c r="G31" s="232">
        <f>G16+G28</f>
        <v/>
      </c>
      <c r="H31" s="232">
        <f>H16+H28</f>
        <v/>
      </c>
    </row>
    <row r="32">
      <c r="D32" t="inlineStr">
        <is>
          <t>Gewinnfreibetrag (Grundfreibetrag)</t>
        </is>
      </c>
      <c r="E32" t="inlineStr">
        <is>
          <t>EUR</t>
        </is>
      </c>
      <c r="F32" s="231">
        <f>-MIN(MAX(F31,0),Assumptions!$F$110)*Assumptions!$F$109</f>
        <v/>
      </c>
      <c r="G32" s="231">
        <f>-MIN(MAX(G31,0),Assumptions!$F$110)*Assumptions!$F$109</f>
        <v/>
      </c>
      <c r="H32" s="231">
        <f>-MIN(MAX(H31,0),Assumptions!$F$110)*Assumptions!$F$109</f>
        <v/>
      </c>
    </row>
    <row r="33">
      <c r="D33" t="inlineStr">
        <is>
          <t>Profit after Gewinnfreibetrag</t>
        </is>
      </c>
      <c r="E33" t="inlineStr">
        <is>
          <t>EUR</t>
        </is>
      </c>
      <c r="F33" s="231">
        <f>F31+F32</f>
        <v/>
      </c>
      <c r="G33" s="231">
        <f>G31+G32</f>
        <v/>
      </c>
      <c r="H33" s="231">
        <f>H31+H32</f>
        <v/>
      </c>
    </row>
    <row r="34">
      <c r="D34" t="inlineStr">
        <is>
          <t>Loss carry-forward - opening</t>
        </is>
      </c>
      <c r="E34" t="inlineStr">
        <is>
          <t>EUR</t>
        </is>
      </c>
      <c r="F34" s="233" t="n">
        <v>0</v>
      </c>
      <c r="G34" s="234">
        <f>F36</f>
        <v/>
      </c>
      <c r="H34" s="234">
        <f>G36</f>
        <v/>
      </c>
    </row>
    <row r="35">
      <c r="D35" t="inlineStr">
        <is>
          <t>Loss carry-forward used</t>
        </is>
      </c>
      <c r="E35" t="inlineStr">
        <is>
          <t>EUR</t>
        </is>
      </c>
      <c r="F35" s="231">
        <f>-MIN(MAX(F33,0)*Assumptions!$F$112,F34)</f>
        <v/>
      </c>
      <c r="G35" s="231">
        <f>-MIN(MAX(G33,0)*Assumptions!$F$112,G34)</f>
        <v/>
      </c>
      <c r="H35" s="231">
        <f>-MIN(MAX(H33,0)*Assumptions!$F$112,H34)</f>
        <v/>
      </c>
    </row>
    <row r="36">
      <c r="D36" t="inlineStr">
        <is>
          <t>Loss carry-forward - closing</t>
        </is>
      </c>
      <c r="E36" t="inlineStr">
        <is>
          <t>EUR</t>
        </is>
      </c>
      <c r="F36" s="231">
        <f>F34+F35+MAX(0,-F33)</f>
        <v/>
      </c>
      <c r="G36" s="231">
        <f>G34+G35+MAX(0,-G33)</f>
        <v/>
      </c>
      <c r="H36" s="231">
        <f>H34+H35+MAX(0,-H33)</f>
        <v/>
      </c>
    </row>
    <row r="37">
      <c r="D37" s="7" t="inlineStr">
        <is>
          <t>Taxable income</t>
        </is>
      </c>
      <c r="E37" t="inlineStr">
        <is>
          <t>EUR</t>
        </is>
      </c>
      <c r="F37" s="232">
        <f>MAX(0,F33+F35)</f>
        <v/>
      </c>
      <c r="G37" s="232">
        <f>MAX(0,G33+G35)</f>
        <v/>
      </c>
      <c r="H37" s="232">
        <f>MAX(0,H33+H35)</f>
        <v/>
      </c>
    </row>
    <row r="39">
      <c r="D39" s="129" t="inlineStr">
        <is>
          <t>Income tax, bracket by bracket</t>
        </is>
      </c>
    </row>
    <row r="40">
      <c r="D40" s="129">
        <f>TEXT(Assumptions!$F100,"#,##0")&amp;" - "&amp;TEXT(Assumptions!$G100,"#,##0")&amp;" @ "&amp;TEXT(Assumptions!$H100,"0%")</f>
        <v/>
      </c>
      <c r="F40" s="229">
        <f>MAX(0,MIN(F$37,Assumptions!$G100)-Assumptions!$F100)*Assumptions!$H100</f>
        <v/>
      </c>
      <c r="G40" s="229">
        <f>MAX(0,MIN(G$37,Assumptions!$G100)-Assumptions!$F100)*Assumptions!$H100</f>
        <v/>
      </c>
      <c r="H40" s="229">
        <f>MAX(0,MIN(H$37,Assumptions!$G100)-Assumptions!$F100)*Assumptions!$H100</f>
        <v/>
      </c>
    </row>
    <row r="41">
      <c r="D41" s="129">
        <f>TEXT(Assumptions!$F101,"#,##0")&amp;" - "&amp;TEXT(Assumptions!$G101,"#,##0")&amp;" @ "&amp;TEXT(Assumptions!$H101,"0%")</f>
        <v/>
      </c>
      <c r="F41" s="229">
        <f>MAX(0,MIN(F$37,Assumptions!$G101)-Assumptions!$F101)*Assumptions!$H101</f>
        <v/>
      </c>
      <c r="G41" s="229">
        <f>MAX(0,MIN(G$37,Assumptions!$G101)-Assumptions!$F101)*Assumptions!$H101</f>
        <v/>
      </c>
      <c r="H41" s="229">
        <f>MAX(0,MIN(H$37,Assumptions!$G101)-Assumptions!$F101)*Assumptions!$H101</f>
        <v/>
      </c>
    </row>
    <row r="42">
      <c r="D42" s="129">
        <f>TEXT(Assumptions!$F102,"#,##0")&amp;" - "&amp;TEXT(Assumptions!$G102,"#,##0")&amp;" @ "&amp;TEXT(Assumptions!$H102,"0%")</f>
        <v/>
      </c>
      <c r="F42" s="229">
        <f>MAX(0,MIN(F$37,Assumptions!$G102)-Assumptions!$F102)*Assumptions!$H102</f>
        <v/>
      </c>
      <c r="G42" s="229">
        <f>MAX(0,MIN(G$37,Assumptions!$G102)-Assumptions!$F102)*Assumptions!$H102</f>
        <v/>
      </c>
      <c r="H42" s="229">
        <f>MAX(0,MIN(H$37,Assumptions!$G102)-Assumptions!$F102)*Assumptions!$H102</f>
        <v/>
      </c>
    </row>
    <row r="43">
      <c r="D43" s="129">
        <f>TEXT(Assumptions!$F103,"#,##0")&amp;" - "&amp;TEXT(Assumptions!$G103,"#,##0")&amp;" @ "&amp;TEXT(Assumptions!$H103,"0%")</f>
        <v/>
      </c>
      <c r="F43" s="229">
        <f>MAX(0,MIN(F$37,Assumptions!$G103)-Assumptions!$F103)*Assumptions!$H103</f>
        <v/>
      </c>
      <c r="G43" s="229">
        <f>MAX(0,MIN(G$37,Assumptions!$G103)-Assumptions!$F103)*Assumptions!$H103</f>
        <v/>
      </c>
      <c r="H43" s="229">
        <f>MAX(0,MIN(H$37,Assumptions!$G103)-Assumptions!$F103)*Assumptions!$H103</f>
        <v/>
      </c>
    </row>
    <row r="44">
      <c r="D44" s="129">
        <f>TEXT(Assumptions!$F104,"#,##0")&amp;" - "&amp;TEXT(Assumptions!$G104,"#,##0")&amp;" @ "&amp;TEXT(Assumptions!$H104,"0%")</f>
        <v/>
      </c>
      <c r="F44" s="229">
        <f>MAX(0,MIN(F$37,Assumptions!$G104)-Assumptions!$F104)*Assumptions!$H104</f>
        <v/>
      </c>
      <c r="G44" s="229">
        <f>MAX(0,MIN(G$37,Assumptions!$G104)-Assumptions!$F104)*Assumptions!$H104</f>
        <v/>
      </c>
      <c r="H44" s="229">
        <f>MAX(0,MIN(H$37,Assumptions!$G104)-Assumptions!$F104)*Assumptions!$H104</f>
        <v/>
      </c>
    </row>
    <row r="45">
      <c r="D45" s="129">
        <f>TEXT(Assumptions!$F105,"#,##0")&amp;" - "&amp;TEXT(Assumptions!$G105,"#,##0")&amp;" @ "&amp;TEXT(Assumptions!$H105,"0%")</f>
        <v/>
      </c>
      <c r="F45" s="229">
        <f>MAX(0,MIN(F$37,Assumptions!$G105)-Assumptions!$F105)*Assumptions!$H105</f>
        <v/>
      </c>
      <c r="G45" s="229">
        <f>MAX(0,MIN(G$37,Assumptions!$G105)-Assumptions!$F105)*Assumptions!$H105</f>
        <v/>
      </c>
      <c r="H45" s="229">
        <f>MAX(0,MIN(H$37,Assumptions!$G105)-Assumptions!$F105)*Assumptions!$H105</f>
        <v/>
      </c>
    </row>
    <row r="46">
      <c r="D46" s="129">
        <f>TEXT(Assumptions!$F106,"#,##0")&amp;" - "&amp;TEXT(Assumptions!$G106,"#,##0")&amp;" @ "&amp;TEXT(Assumptions!$H106,"0%")</f>
        <v/>
      </c>
      <c r="F46" s="229">
        <f>MAX(0,MIN(F$37,Assumptions!$G106)-Assumptions!$F106)*Assumptions!$H106</f>
        <v/>
      </c>
      <c r="G46" s="229">
        <f>MAX(0,MIN(G$37,Assumptions!$G106)-Assumptions!$F106)*Assumptions!$H106</f>
        <v/>
      </c>
      <c r="H46" s="229">
        <f>MAX(0,MIN(H$37,Assumptions!$G106)-Assumptions!$F106)*Assumptions!$H106</f>
        <v/>
      </c>
    </row>
    <row r="47">
      <c r="D47" s="144" t="inlineStr">
        <is>
          <t>Total income tax</t>
        </is>
      </c>
      <c r="E47" s="145" t="inlineStr">
        <is>
          <t>EUR</t>
        </is>
      </c>
      <c r="F47" s="228">
        <f>-SUM(F40:F46)</f>
        <v/>
      </c>
      <c r="G47" s="228">
        <f>-SUM(G40:G46)</f>
        <v/>
      </c>
      <c r="H47" s="228">
        <f>-SUM(H40:H46)</f>
        <v/>
      </c>
    </row>
    <row r="49" ht="15.6" customHeight="1" s="180">
      <c r="D49" s="131" t="inlineStr">
        <is>
          <t>4. Founder net income vs target</t>
        </is>
      </c>
    </row>
    <row r="50">
      <c r="D50" s="7" t="inlineStr">
        <is>
          <t>Net income available to founder</t>
        </is>
      </c>
      <c r="E50" t="inlineStr">
        <is>
          <t>EUR</t>
        </is>
      </c>
      <c r="F50" s="235">
        <f>F31+F47</f>
        <v/>
      </c>
      <c r="G50" s="235">
        <f>G31+G47</f>
        <v/>
      </c>
      <c r="H50" s="235">
        <f>H31+H47</f>
        <v/>
      </c>
    </row>
    <row r="51">
      <c r="D51" t="inlineStr">
        <is>
          <t>Months in period</t>
        </is>
      </c>
      <c r="E51" t="inlineStr">
        <is>
          <t>#</t>
        </is>
      </c>
      <c r="F51" s="139" t="n">
        <v>6</v>
      </c>
      <c r="G51" s="139" t="n">
        <v>12</v>
      </c>
      <c r="H51" s="139" t="n">
        <v>12</v>
      </c>
    </row>
    <row r="52">
      <c r="D52" t="inlineStr">
        <is>
          <t>Average net per month</t>
        </is>
      </c>
      <c r="E52" t="inlineStr">
        <is>
          <t>EUR</t>
        </is>
      </c>
      <c r="F52" s="231">
        <f>F50/F51</f>
        <v/>
      </c>
      <c r="G52" s="231">
        <f>G50/G51</f>
        <v/>
      </c>
      <c r="H52" s="231">
        <f>H50/H51</f>
        <v/>
      </c>
    </row>
    <row r="53">
      <c r="D53" t="inlineStr">
        <is>
          <t>Target net draw per month</t>
        </is>
      </c>
      <c r="E53" t="inlineStr">
        <is>
          <t>EUR</t>
        </is>
      </c>
      <c r="F53" s="140" t="n">
        <v>3500</v>
      </c>
      <c r="G53" s="140" t="n">
        <v>3500</v>
      </c>
      <c r="H53" s="140" t="n">
        <v>3500</v>
      </c>
    </row>
    <row r="54">
      <c r="D54" t="inlineStr">
        <is>
          <t>Months at target</t>
        </is>
      </c>
      <c r="E54" t="inlineStr">
        <is>
          <t>#</t>
        </is>
      </c>
      <c r="F54" s="139" t="n">
        <v>0</v>
      </c>
      <c r="G54" s="139" t="n">
        <v>6</v>
      </c>
      <c r="H54" s="139" t="n">
        <v>12</v>
      </c>
    </row>
    <row r="55">
      <c r="D55" t="inlineStr">
        <is>
          <t>Target net income</t>
        </is>
      </c>
      <c r="E55" t="inlineStr">
        <is>
          <t>EUR</t>
        </is>
      </c>
      <c r="F55" s="231">
        <f>F53*F54</f>
        <v/>
      </c>
      <c r="G55" s="231">
        <f>G53*G54</f>
        <v/>
      </c>
      <c r="H55" s="231">
        <f>H53*H54</f>
        <v/>
      </c>
    </row>
    <row r="56">
      <c r="D56" s="144" t="inlineStr">
        <is>
          <t>Surplus / (gap) vs target</t>
        </is>
      </c>
      <c r="E56" s="145" t="inlineStr">
        <is>
          <t>EUR</t>
        </is>
      </c>
      <c r="F56" s="236">
        <f>F50-F55</f>
        <v/>
      </c>
      <c r="G56" s="236">
        <f>G50-G55</f>
        <v/>
      </c>
      <c r="H56" s="236">
        <f>H50-H55</f>
        <v/>
      </c>
    </row>
  </sheetData>
  <pageMargins left="0.7" right="0.7" top="0.75" bottom="0.75" header="0.3" footer="0.3"/>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C1:K27"/>
  <sheetViews>
    <sheetView topLeftCell="A10" workbookViewId="0">
      <selection activeCell="F21" sqref="E20:F21"/>
    </sheetView>
  </sheetViews>
  <sheetFormatPr baseColWidth="8" defaultRowHeight="14.4"/>
  <cols>
    <col width="31" customWidth="1" style="180" min="3" max="3"/>
    <col width="10.44140625" bestFit="1" customWidth="1" style="180" min="4" max="4"/>
    <col width="11.44140625" bestFit="1" customWidth="1" style="180" min="5" max="6"/>
    <col width="41.88671875" customWidth="1" style="180" min="10" max="10"/>
  </cols>
  <sheetData>
    <row r="1">
      <c r="E1" s="6" t="inlineStr">
        <is>
          <t>https://bruttonetto.finanzrechner.at/en/</t>
        </is>
      </c>
    </row>
    <row r="2">
      <c r="C2" s="8" t="n"/>
      <c r="D2" s="8" t="inlineStr">
        <is>
          <t>Y1</t>
        </is>
      </c>
      <c r="E2" s="8" t="inlineStr">
        <is>
          <t>Y2</t>
        </is>
      </c>
      <c r="F2" s="8" t="inlineStr">
        <is>
          <t>Y3</t>
        </is>
      </c>
    </row>
    <row r="3">
      <c r="C3" s="7" t="inlineStr">
        <is>
          <t>Founder</t>
        </is>
      </c>
      <c r="D3" s="7">
        <f>D8</f>
        <v/>
      </c>
      <c r="E3" s="7">
        <f>E8</f>
        <v/>
      </c>
      <c r="F3" s="7">
        <f>F8</f>
        <v/>
      </c>
      <c r="J3" t="inlineStr">
        <is>
          <t>Monthly Employer contributions as % of gross</t>
        </is>
      </c>
      <c r="K3" s="4" t="n">
        <v>0.3</v>
      </c>
    </row>
    <row r="4">
      <c r="C4" t="inlineStr">
        <is>
          <t>Net monthly salary</t>
        </is>
      </c>
      <c r="D4" t="n">
        <v>1800</v>
      </c>
      <c r="E4" t="n">
        <v>1800</v>
      </c>
      <c r="F4" t="n">
        <v>1800</v>
      </c>
    </row>
    <row r="5">
      <c r="C5" t="inlineStr">
        <is>
          <t>Yearly salary (net)</t>
        </is>
      </c>
      <c r="D5">
        <f>D4*12</f>
        <v/>
      </c>
      <c r="E5">
        <f>E4*12</f>
        <v/>
      </c>
      <c r="F5">
        <f>F4*12</f>
        <v/>
      </c>
    </row>
    <row r="6">
      <c r="C6" t="inlineStr">
        <is>
          <t>Gross salary multiplier</t>
        </is>
      </c>
      <c r="D6" t="n">
        <v>1.3</v>
      </c>
      <c r="E6" t="n">
        <v>1.3</v>
      </c>
      <c r="F6" t="n">
        <v>1.3</v>
      </c>
    </row>
    <row r="7">
      <c r="C7" t="inlineStr">
        <is>
          <t>Gross salary</t>
        </is>
      </c>
      <c r="D7">
        <f>D6*D5</f>
        <v/>
      </c>
      <c r="E7">
        <f>E6*E5</f>
        <v/>
      </c>
      <c r="F7">
        <f>F6*F5</f>
        <v/>
      </c>
    </row>
    <row r="8">
      <c r="C8" t="inlineStr">
        <is>
          <t>Total cost</t>
        </is>
      </c>
      <c r="D8">
        <f>D7*(1+$K$3)</f>
        <v/>
      </c>
      <c r="E8">
        <f>E7*(1+$K$3)</f>
        <v/>
      </c>
      <c r="F8">
        <f>F7*(1+$K$3)</f>
        <v/>
      </c>
    </row>
    <row r="10">
      <c r="C10" s="7" t="inlineStr">
        <is>
          <t>Customer support</t>
        </is>
      </c>
      <c r="D10" s="7">
        <f>D15</f>
        <v/>
      </c>
      <c r="E10" s="7">
        <f>E15</f>
        <v/>
      </c>
      <c r="F10" s="7">
        <f>F15</f>
        <v/>
      </c>
      <c r="J10" t="inlineStr">
        <is>
          <t>Monthly Employer contributions as % of gross</t>
        </is>
      </c>
      <c r="K10" s="4" t="n">
        <v>0.3</v>
      </c>
    </row>
    <row r="11">
      <c r="C11" t="inlineStr">
        <is>
          <t>Net monthly salary</t>
        </is>
      </c>
      <c r="E11" t="n">
        <v>2500</v>
      </c>
      <c r="F11">
        <f>E11</f>
        <v/>
      </c>
    </row>
    <row r="12">
      <c r="C12" t="inlineStr">
        <is>
          <t>Yearly salary (net)</t>
        </is>
      </c>
      <c r="E12">
        <f>E11*12</f>
        <v/>
      </c>
      <c r="F12">
        <f>F11*12</f>
        <v/>
      </c>
    </row>
    <row r="13">
      <c r="C13" t="inlineStr">
        <is>
          <t>Gross salary multiplier</t>
        </is>
      </c>
      <c r="E13" t="n">
        <v>1.55</v>
      </c>
      <c r="F13" t="n">
        <v>1.55</v>
      </c>
    </row>
    <row r="14">
      <c r="C14" t="inlineStr">
        <is>
          <t>Gross salary</t>
        </is>
      </c>
      <c r="E14">
        <f>E13*E12</f>
        <v/>
      </c>
      <c r="F14">
        <f>F13*F12</f>
        <v/>
      </c>
    </row>
    <row r="15">
      <c r="C15" t="inlineStr">
        <is>
          <t>Total cost</t>
        </is>
      </c>
      <c r="E15">
        <f>E14*(1+$K$3)</f>
        <v/>
      </c>
      <c r="F15">
        <f>F14*(1+$K$3)</f>
        <v/>
      </c>
    </row>
    <row r="17">
      <c r="C17" s="7" t="inlineStr">
        <is>
          <t>Designer</t>
        </is>
      </c>
      <c r="D17" s="7">
        <f>D22</f>
        <v/>
      </c>
      <c r="E17" s="7">
        <f>E22</f>
        <v/>
      </c>
      <c r="F17" s="7">
        <f>F22</f>
        <v/>
      </c>
      <c r="J17" t="inlineStr">
        <is>
          <t>Monthly Employer contributions as % of gross</t>
        </is>
      </c>
      <c r="K17" s="4" t="n">
        <v>0</v>
      </c>
    </row>
    <row r="18">
      <c r="C18" t="inlineStr">
        <is>
          <t>Net monthly salary</t>
        </is>
      </c>
      <c r="E18" t="n">
        <v>3000</v>
      </c>
      <c r="F18">
        <f>E18</f>
        <v/>
      </c>
    </row>
    <row r="19">
      <c r="C19" t="inlineStr">
        <is>
          <t>Yearly salary (net)</t>
        </is>
      </c>
      <c r="D19">
        <f>D18*12</f>
        <v/>
      </c>
      <c r="E19">
        <f>E18*12</f>
        <v/>
      </c>
      <c r="F19">
        <f>F18*12</f>
        <v/>
      </c>
    </row>
    <row r="20">
      <c r="C20" t="inlineStr">
        <is>
          <t>Gross salary multiplier</t>
        </is>
      </c>
      <c r="E20" t="n">
        <v>1</v>
      </c>
      <c r="F20" t="n">
        <v>1</v>
      </c>
    </row>
    <row r="21">
      <c r="C21" t="inlineStr">
        <is>
          <t>Gross salary</t>
        </is>
      </c>
      <c r="D21">
        <f>D20*D19</f>
        <v/>
      </c>
      <c r="E21">
        <f>E20*E19</f>
        <v/>
      </c>
      <c r="F21">
        <f>F20*F19</f>
        <v/>
      </c>
    </row>
    <row r="22">
      <c r="C22" t="inlineStr">
        <is>
          <t>Total cost</t>
        </is>
      </c>
      <c r="D22">
        <f>D21*(1+$K$3)</f>
        <v/>
      </c>
      <c r="E22">
        <f>E21*(1+$K$17)</f>
        <v/>
      </c>
      <c r="F22">
        <f>F21*(1+$K$17)</f>
        <v/>
      </c>
    </row>
    <row r="24">
      <c r="D24" s="1">
        <f>SUM(D25:D27)</f>
        <v/>
      </c>
      <c r="E24" s="1">
        <f>SUM(E25:E27)</f>
        <v/>
      </c>
      <c r="F24" s="1">
        <f>SUM(F25:F27)</f>
        <v/>
      </c>
    </row>
    <row r="25">
      <c r="C25" t="inlineStr">
        <is>
          <t>Employer contributions</t>
        </is>
      </c>
      <c r="D25">
        <f>(D8-D5)+(D15-D12)</f>
        <v/>
      </c>
      <c r="E25">
        <f>(E8-E5)+(E15-E12)</f>
        <v/>
      </c>
      <c r="F25">
        <f>(F8-F5)+(F15-F12)</f>
        <v/>
      </c>
    </row>
    <row r="26">
      <c r="C26" t="inlineStr">
        <is>
          <t>Salaries (founder)</t>
        </is>
      </c>
      <c r="D26">
        <f>D5</f>
        <v/>
      </c>
      <c r="E26">
        <f>E5</f>
        <v/>
      </c>
      <c r="F26">
        <f>F5</f>
        <v/>
      </c>
    </row>
    <row r="27">
      <c r="C27" t="inlineStr">
        <is>
          <t>Salaries (employees)</t>
        </is>
      </c>
      <c r="D27">
        <f>D12+D19</f>
        <v/>
      </c>
      <c r="E27">
        <f>E12+E19</f>
        <v/>
      </c>
      <c r="F27">
        <f>F12+F19</f>
        <v/>
      </c>
    </row>
  </sheetData>
  <hyperlinks>
    <hyperlink xmlns:r="http://schemas.openxmlformats.org/officeDocument/2006/relationships" ref="E1" r:id="rId1"/>
  </hyperlink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2:XFD114"/>
  <sheetViews>
    <sheetView topLeftCell="A43" zoomScale="73" zoomScaleNormal="73" workbookViewId="0">
      <selection activeCell="O49" sqref="O49"/>
    </sheetView>
  </sheetViews>
  <sheetFormatPr baseColWidth="8" defaultColWidth="8.6640625" defaultRowHeight="14.4"/>
  <cols>
    <col width="8.6640625" customWidth="1" style="12" min="1" max="1"/>
    <col width="10.33203125" bestFit="1" customWidth="1" style="12" min="2" max="2"/>
    <col width="3" customWidth="1" style="12" min="3" max="3"/>
    <col width="47" customWidth="1" style="12" min="4" max="4"/>
    <col width="15.44140625" customWidth="1" style="12" min="5" max="5"/>
    <col width="13.33203125" customWidth="1" style="12" min="6" max="8"/>
    <col width="10.44140625" bestFit="1" customWidth="1" style="12" min="9" max="9"/>
    <col width="9.44140625" bestFit="1" customWidth="1" style="12" min="10" max="12"/>
    <col width="9.44140625" customWidth="1" style="12" min="13" max="13"/>
    <col width="8.6640625" customWidth="1" style="12" min="14" max="14"/>
    <col width="56" customWidth="1" style="12" min="15" max="15"/>
    <col width="8.6640625" customWidth="1" style="12" min="16" max="18"/>
    <col width="9.44140625" bestFit="1" customWidth="1" style="12" min="19" max="19"/>
    <col width="8.6640625" customWidth="1" style="12" min="20" max="24"/>
    <col width="9.6640625" bestFit="1" customWidth="1" style="12" min="25" max="25"/>
    <col width="8.6640625" customWidth="1" style="12" min="26" max="26"/>
    <col width="8.6640625" customWidth="1" style="12" min="27" max="16384"/>
  </cols>
  <sheetData>
    <row r="2" customFormat="1" s="44">
      <c r="A2" s="39" t="n"/>
      <c r="C2" s="41" t="n"/>
      <c r="D2" s="40" t="inlineStr">
        <is>
          <t>hard input</t>
        </is>
      </c>
      <c r="E2" s="42" t="n"/>
      <c r="F2" s="42" t="n"/>
      <c r="G2" s="42" t="n"/>
      <c r="H2" s="42" t="n"/>
      <c r="I2" s="42" t="n"/>
      <c r="J2" s="42" t="n"/>
      <c r="K2" s="42" t="n"/>
      <c r="L2" s="42" t="n"/>
      <c r="M2" s="42" t="n"/>
      <c r="N2" s="42" t="n"/>
      <c r="O2" s="42" t="n"/>
      <c r="P2" s="42" t="n"/>
      <c r="Q2" s="42" t="n"/>
      <c r="R2" s="42" t="n"/>
      <c r="S2" s="42" t="n"/>
      <c r="T2" s="42" t="n"/>
      <c r="U2" s="42" t="n"/>
      <c r="V2" s="42" t="n"/>
      <c r="W2" s="42" t="n"/>
      <c r="X2" s="42" t="n"/>
      <c r="Y2" s="42" t="n"/>
      <c r="Z2" s="42" t="n"/>
      <c r="AA2" s="42" t="n"/>
      <c r="AB2" s="42" t="n"/>
      <c r="AC2" s="42" t="n"/>
      <c r="AD2" s="43" t="n"/>
      <c r="XEG2" s="45" t="n"/>
      <c r="XEH2" s="45" t="n"/>
      <c r="XEI2" s="45" t="n"/>
      <c r="XEJ2" s="45" t="n"/>
      <c r="XEK2" s="45" t="n"/>
      <c r="XEL2" s="45" t="n"/>
      <c r="XEM2" s="45" t="n"/>
      <c r="XEN2" s="45" t="n"/>
      <c r="XEO2" s="45" t="n"/>
      <c r="XEP2" s="45" t="n"/>
      <c r="XEQ2" s="45" t="n"/>
      <c r="XER2" s="45" t="n"/>
      <c r="XES2" s="45" t="n"/>
      <c r="XET2" s="45" t="n"/>
      <c r="XEU2" s="45" t="n"/>
      <c r="XEV2" s="45" t="n"/>
      <c r="XEW2" s="45" t="n"/>
      <c r="XEX2" s="45" t="n"/>
      <c r="XEY2" s="45" t="n"/>
      <c r="XEZ2" s="45" t="n"/>
      <c r="XFA2" s="45" t="n"/>
      <c r="XFB2" s="45" t="n"/>
      <c r="XFC2" s="45" t="n"/>
      <c r="XFD2" s="45" t="n"/>
    </row>
    <row r="3" customFormat="1" s="44">
      <c r="A3" s="39" t="n"/>
      <c r="C3" s="41" t="n"/>
      <c r="D3" s="46" t="inlineStr">
        <is>
          <t>link to other cell</t>
        </is>
      </c>
      <c r="E3" s="42" t="n"/>
      <c r="F3" s="42" t="n"/>
      <c r="G3" s="42" t="n"/>
      <c r="H3" s="42" t="n"/>
      <c r="I3" s="42" t="n"/>
      <c r="J3" s="42" t="n"/>
      <c r="K3" s="42" t="n"/>
      <c r="L3" s="42" t="n"/>
      <c r="M3" s="42" t="n"/>
      <c r="N3" s="42" t="n"/>
      <c r="O3" s="42" t="n"/>
      <c r="P3" s="42" t="n"/>
      <c r="Q3" s="42" t="n"/>
      <c r="R3" s="42" t="n"/>
      <c r="S3" s="42" t="n"/>
      <c r="T3" s="42" t="n"/>
      <c r="U3" s="42" t="n"/>
      <c r="V3" s="42" t="n"/>
      <c r="W3" s="42" t="n"/>
      <c r="X3" s="42" t="n"/>
      <c r="Y3" s="42" t="n"/>
      <c r="Z3" s="42" t="n"/>
      <c r="AA3" s="42" t="n"/>
      <c r="AB3" s="42" t="n"/>
      <c r="AC3" s="42" t="n"/>
      <c r="AD3" s="43" t="n"/>
      <c r="XEG3" s="45" t="n"/>
      <c r="XEH3" s="45" t="n"/>
      <c r="XEI3" s="45" t="n"/>
      <c r="XEJ3" s="45" t="n"/>
      <c r="XEK3" s="45" t="n"/>
      <c r="XEL3" s="45" t="n"/>
      <c r="XEM3" s="45" t="n"/>
      <c r="XEN3" s="45" t="n"/>
      <c r="XEO3" s="45" t="n"/>
      <c r="XEP3" s="45" t="n"/>
      <c r="XEQ3" s="45" t="n"/>
      <c r="XER3" s="45" t="n"/>
      <c r="XES3" s="45" t="n"/>
      <c r="XET3" s="45" t="n"/>
      <c r="XEU3" s="45" t="n"/>
      <c r="XEV3" s="45" t="n"/>
      <c r="XEW3" s="45" t="n"/>
      <c r="XEX3" s="45" t="n"/>
      <c r="XEY3" s="45" t="n"/>
      <c r="XEZ3" s="45" t="n"/>
      <c r="XFA3" s="45" t="n"/>
      <c r="XFB3" s="45" t="n"/>
      <c r="XFC3" s="45" t="n"/>
      <c r="XFD3" s="45" t="n"/>
    </row>
    <row r="4" ht="15.6" customFormat="1" customHeight="1" s="44">
      <c r="A4" s="39" t="n"/>
      <c r="C4" s="41" t="n"/>
      <c r="D4" s="47" t="inlineStr">
        <is>
          <t>calc</t>
        </is>
      </c>
      <c r="E4" s="42" t="n"/>
      <c r="F4" s="42" t="n"/>
      <c r="G4" s="42" t="n"/>
      <c r="H4" s="42" t="n"/>
      <c r="I4" s="42" t="n"/>
      <c r="J4" s="42" t="n"/>
      <c r="K4" s="42" t="n"/>
      <c r="L4" s="42" t="n"/>
      <c r="M4" s="42" t="n"/>
      <c r="N4" s="42" t="n"/>
      <c r="O4" s="42" t="n"/>
      <c r="P4" s="42" t="n"/>
      <c r="Q4" s="42" t="n"/>
      <c r="R4" s="42" t="n"/>
      <c r="S4" s="42" t="n"/>
      <c r="T4" s="42" t="n"/>
      <c r="U4" s="42" t="n"/>
      <c r="V4" s="42" t="n"/>
      <c r="W4" s="42" t="n"/>
      <c r="X4" s="42" t="n"/>
      <c r="Y4" s="42" t="n"/>
      <c r="Z4" s="42" t="n"/>
      <c r="AA4" s="42" t="n"/>
      <c r="AB4" s="42" t="n"/>
      <c r="AC4" s="42" t="n"/>
      <c r="AD4" s="43" t="n"/>
      <c r="XEG4" s="45" t="n"/>
      <c r="XEH4" s="45" t="n"/>
      <c r="XEI4" s="45" t="n"/>
      <c r="XEJ4" s="45" t="n"/>
      <c r="XEK4" s="45" t="n"/>
      <c r="XEL4" s="45" t="n"/>
      <c r="XEM4" s="45" t="n"/>
      <c r="XEN4" s="45" t="n"/>
      <c r="XEO4" s="45" t="n"/>
      <c r="XEP4" s="45" t="n"/>
      <c r="XEQ4" s="45" t="n"/>
      <c r="XER4" s="45" t="n"/>
      <c r="XES4" s="45" t="n"/>
      <c r="XET4" s="45" t="n"/>
      <c r="XEU4" s="45" t="n"/>
      <c r="XEV4" s="45" t="n"/>
      <c r="XEW4" s="45" t="n"/>
      <c r="XEX4" s="45" t="n"/>
      <c r="XEY4" s="45" t="n"/>
      <c r="XEZ4" s="45" t="n"/>
      <c r="XFA4" s="45" t="n"/>
      <c r="XFB4" s="45" t="n"/>
      <c r="XFC4" s="45" t="n"/>
      <c r="XFD4" s="45" t="n"/>
    </row>
    <row r="5" ht="15.6" customFormat="1" customHeight="1" s="44">
      <c r="A5" s="39" t="n"/>
      <c r="C5" s="41" t="n"/>
      <c r="D5" s="48" t="inlineStr">
        <is>
          <t>not used for calcs</t>
        </is>
      </c>
      <c r="E5" s="42" t="n"/>
      <c r="F5" s="42" t="n"/>
      <c r="G5" s="42" t="n"/>
      <c r="H5" s="42" t="n"/>
      <c r="I5" s="42" t="n"/>
      <c r="J5" s="42" t="n"/>
      <c r="K5" s="42" t="n"/>
      <c r="L5" s="42" t="n"/>
      <c r="M5" s="42" t="n"/>
      <c r="N5" s="42" t="n"/>
      <c r="O5" s="42" t="n"/>
      <c r="P5" s="42" t="n"/>
      <c r="Q5" s="42" t="n"/>
      <c r="R5" s="42" t="n"/>
      <c r="S5" s="42" t="n"/>
      <c r="T5" s="42" t="n"/>
      <c r="U5" s="42" t="n"/>
      <c r="V5" s="42" t="n"/>
      <c r="W5" s="42" t="n"/>
      <c r="X5" s="42" t="n"/>
      <c r="Y5" s="42" t="n"/>
      <c r="Z5" s="42" t="n"/>
      <c r="AA5" s="42" t="n"/>
      <c r="AB5" s="42" t="n"/>
      <c r="AC5" s="42" t="n"/>
      <c r="AD5" s="43" t="n"/>
      <c r="XEG5" s="45" t="n"/>
      <c r="XEH5" s="45" t="n"/>
      <c r="XEI5" s="45" t="n"/>
      <c r="XEJ5" s="45" t="n"/>
      <c r="XEK5" s="45" t="n"/>
      <c r="XEL5" s="45" t="n"/>
      <c r="XEM5" s="45" t="n"/>
      <c r="XEN5" s="45" t="n"/>
      <c r="XEO5" s="45" t="n"/>
      <c r="XEP5" s="45" t="n"/>
      <c r="XEQ5" s="45" t="n"/>
      <c r="XER5" s="45" t="n"/>
      <c r="XES5" s="45" t="n"/>
      <c r="XET5" s="45" t="n"/>
      <c r="XEU5" s="45" t="n"/>
      <c r="XEV5" s="45" t="n"/>
      <c r="XEW5" s="45" t="n"/>
      <c r="XEX5" s="45" t="n"/>
      <c r="XEY5" s="45" t="n"/>
      <c r="XEZ5" s="45" t="n"/>
      <c r="XFA5" s="45" t="n"/>
      <c r="XFB5" s="45" t="n"/>
      <c r="XFC5" s="45" t="n"/>
      <c r="XFD5" s="45" t="n"/>
    </row>
    <row r="7">
      <c r="B7" s="8" t="inlineStr">
        <is>
          <t>#</t>
        </is>
      </c>
      <c r="D7" s="8" t="inlineStr">
        <is>
          <t>Metric</t>
        </is>
      </c>
      <c r="E7" s="8" t="inlineStr">
        <is>
          <t>Unit</t>
        </is>
      </c>
      <c r="F7" s="8" t="n"/>
      <c r="G7" s="8" t="n"/>
      <c r="H7" s="8" t="n"/>
      <c r="I7" s="8" t="n"/>
      <c r="J7" s="8" t="n"/>
      <c r="K7" s="13" t="n"/>
      <c r="L7" s="13" t="n"/>
      <c r="M7" s="13" t="n"/>
      <c r="N7" s="13" t="n"/>
      <c r="O7" s="13" t="inlineStr">
        <is>
          <t>Comments</t>
        </is>
      </c>
    </row>
    <row r="8">
      <c r="K8" s="14" t="n"/>
    </row>
    <row r="9">
      <c r="B9" s="15" t="n">
        <v>1</v>
      </c>
      <c r="D9" s="16" t="inlineStr">
        <is>
          <t>Macro</t>
        </is>
      </c>
      <c r="K9" s="14" t="n"/>
    </row>
    <row r="10">
      <c r="K10" s="14" t="n"/>
    </row>
    <row r="11">
      <c r="D11" s="12" t="inlineStr">
        <is>
          <t>Inflation</t>
        </is>
      </c>
      <c r="E11" s="12" t="inlineStr">
        <is>
          <t>%</t>
        </is>
      </c>
      <c r="F11" s="60" t="n">
        <v>0.02</v>
      </c>
      <c r="K11" s="14" t="n"/>
    </row>
    <row r="12">
      <c r="D12" s="12" t="inlineStr">
        <is>
          <t>VAT rate</t>
        </is>
      </c>
      <c r="E12" s="12" t="inlineStr">
        <is>
          <t>%</t>
        </is>
      </c>
      <c r="F12" s="58" t="n">
        <v>0.2</v>
      </c>
      <c r="K12" s="14" t="n"/>
    </row>
    <row r="13">
      <c r="K13" s="14" t="n"/>
    </row>
    <row r="14">
      <c r="B14" s="15" t="n">
        <v>2</v>
      </c>
      <c r="D14" s="16" t="inlineStr">
        <is>
          <t>Variable costs</t>
        </is>
      </c>
      <c r="K14" s="14" t="n"/>
    </row>
    <row r="15">
      <c r="K15" s="14" t="n"/>
    </row>
    <row r="16">
      <c r="B16" s="27" t="n">
        <v>2.1</v>
      </c>
      <c r="D16" s="28" t="inlineStr">
        <is>
          <t>COGS</t>
        </is>
      </c>
      <c r="K16" s="14" t="n"/>
    </row>
    <row r="17">
      <c r="K17" s="14" t="n"/>
    </row>
    <row r="18">
      <c r="B18" s="30" t="inlineStr">
        <is>
          <t>2.1.1</t>
        </is>
      </c>
      <c r="D18" s="28" t="inlineStr">
        <is>
          <t>Production and fulfilment</t>
        </is>
      </c>
    </row>
    <row r="19">
      <c r="K19" s="14" t="n"/>
    </row>
    <row r="20">
      <c r="D20" s="18" t="inlineStr">
        <is>
          <t># books/day</t>
        </is>
      </c>
      <c r="E20" s="12" t="inlineStr">
        <is>
          <t>pcs</t>
        </is>
      </c>
      <c r="F20" s="12" t="n">
        <v>1</v>
      </c>
      <c r="G20" s="12" t="n">
        <v>2</v>
      </c>
      <c r="H20" s="12" t="n">
        <v>3</v>
      </c>
      <c r="I20" s="55" t="n">
        <v>4</v>
      </c>
      <c r="J20" s="12" t="n">
        <v>5</v>
      </c>
      <c r="K20" s="12" t="n">
        <v>10</v>
      </c>
      <c r="L20" s="12" t="n">
        <v>20</v>
      </c>
      <c r="M20" s="12" t="n">
        <v>50</v>
      </c>
      <c r="N20" s="12" t="n">
        <v>75</v>
      </c>
    </row>
    <row r="21">
      <c r="D21" s="18" t="inlineStr">
        <is>
          <t># books/month</t>
        </is>
      </c>
      <c r="E21" s="12" t="inlineStr">
        <is>
          <t>pcs</t>
        </is>
      </c>
      <c r="F21" s="12">
        <f>F20*30</f>
        <v/>
      </c>
      <c r="G21" s="12">
        <f>G20*30</f>
        <v/>
      </c>
      <c r="H21" s="12">
        <f>H20*30</f>
        <v/>
      </c>
      <c r="I21" s="12">
        <f>I20*30</f>
        <v/>
      </c>
      <c r="J21" s="12">
        <f>J20*30</f>
        <v/>
      </c>
      <c r="K21" s="12">
        <f>K20*30</f>
        <v/>
      </c>
      <c r="L21" s="12">
        <f>L20*30</f>
        <v/>
      </c>
      <c r="M21" s="12">
        <f>M20*30</f>
        <v/>
      </c>
      <c r="N21" s="12">
        <f>N20*30</f>
        <v/>
      </c>
    </row>
    <row r="22">
      <c r="D22" s="18" t="n"/>
    </row>
    <row r="23">
      <c r="D23" s="23" t="inlineStr">
        <is>
          <t>Printsmarter</t>
        </is>
      </c>
      <c r="F23" s="34" t="n"/>
      <c r="G23" s="34" t="n"/>
      <c r="H23" s="34" t="n"/>
      <c r="I23" s="34" t="n"/>
      <c r="J23" s="34" t="n"/>
      <c r="K23" s="34" t="n"/>
      <c r="L23" s="34" t="n"/>
      <c r="M23" s="34" t="n"/>
    </row>
    <row r="24">
      <c r="D24" s="22" t="inlineStr">
        <is>
          <t>Printing/40 pages unit</t>
        </is>
      </c>
      <c r="E24" s="12" t="inlineStr">
        <is>
          <t>EUR</t>
        </is>
      </c>
      <c r="F24" s="237">
        <f>7.35+0.16*7</f>
        <v/>
      </c>
      <c r="G24" s="50">
        <f>F24</f>
        <v/>
      </c>
      <c r="H24" s="50">
        <f>G24</f>
        <v/>
      </c>
      <c r="I24" s="50">
        <f>H24</f>
        <v/>
      </c>
      <c r="J24" s="50">
        <f>I24</f>
        <v/>
      </c>
      <c r="K24" s="50">
        <f>J24</f>
        <v/>
      </c>
      <c r="L24" s="50">
        <f>K24</f>
        <v/>
      </c>
      <c r="M24" s="50">
        <f>L24</f>
        <v/>
      </c>
      <c r="N24" s="50">
        <f>M24</f>
        <v/>
      </c>
      <c r="O24" s="238" t="n"/>
      <c r="P24" s="34" t="n"/>
    </row>
    <row r="25">
      <c r="D25" s="22" t="inlineStr">
        <is>
          <t>Printing/80 pages unit</t>
        </is>
      </c>
      <c r="E25" s="12" t="inlineStr">
        <is>
          <t>EUR</t>
        </is>
      </c>
      <c r="F25" s="237">
        <f>7.35+0.16*27</f>
        <v/>
      </c>
      <c r="G25" s="50">
        <f>F25</f>
        <v/>
      </c>
      <c r="H25" s="50">
        <f>G25</f>
        <v/>
      </c>
      <c r="I25" s="50">
        <f>H25</f>
        <v/>
      </c>
      <c r="J25" s="50">
        <f>I25</f>
        <v/>
      </c>
      <c r="K25" s="50">
        <f>J25</f>
        <v/>
      </c>
      <c r="L25" s="50">
        <f>K25</f>
        <v/>
      </c>
      <c r="M25" s="50">
        <f>L25</f>
        <v/>
      </c>
      <c r="N25" s="50">
        <f>M25</f>
        <v/>
      </c>
      <c r="O25" s="238" t="n"/>
      <c r="P25" s="34" t="n"/>
    </row>
    <row r="26">
      <c r="D26" s="22" t="inlineStr">
        <is>
          <t>Total packaging per unit</t>
        </is>
      </c>
      <c r="F26" s="237">
        <f>F27+F28+F29</f>
        <v/>
      </c>
      <c r="G26" s="50">
        <f>G27+G28+G29</f>
        <v/>
      </c>
      <c r="H26" s="50">
        <f>H27+H28+H29</f>
        <v/>
      </c>
      <c r="I26" s="50">
        <f>I27+I28+I29</f>
        <v/>
      </c>
      <c r="J26" s="50">
        <f>J27+J28+J29</f>
        <v/>
      </c>
      <c r="K26" s="50">
        <f>K27+K28+K29</f>
        <v/>
      </c>
      <c r="L26" s="50">
        <f>L27+L28+L29</f>
        <v/>
      </c>
      <c r="M26" s="50">
        <f>M27+M28+M29</f>
        <v/>
      </c>
      <c r="N26" s="50">
        <f>N27+N28+N29</f>
        <v/>
      </c>
      <c r="O26" s="238" t="n"/>
      <c r="P26" s="34" t="n"/>
    </row>
    <row r="27">
      <c r="D27" s="107" t="inlineStr">
        <is>
          <t>Packaging/unit</t>
        </is>
      </c>
      <c r="E27" s="12" t="inlineStr">
        <is>
          <t>EUR</t>
        </is>
      </c>
      <c r="F27" s="237" t="n">
        <v>2.34</v>
      </c>
      <c r="G27" s="50">
        <f>F27</f>
        <v/>
      </c>
      <c r="H27" s="50">
        <f>G27</f>
        <v/>
      </c>
      <c r="I27" s="50">
        <f>H27</f>
        <v/>
      </c>
      <c r="J27" s="50">
        <f>I27</f>
        <v/>
      </c>
      <c r="K27" s="50">
        <f>J27</f>
        <v/>
      </c>
      <c r="L27" s="50">
        <f>K27</f>
        <v/>
      </c>
      <c r="M27" s="50">
        <f>L27</f>
        <v/>
      </c>
      <c r="N27" s="50">
        <f>M27</f>
        <v/>
      </c>
      <c r="O27" s="238" t="n"/>
      <c r="P27" s="34" t="n"/>
    </row>
    <row r="28">
      <c r="D28" s="107" t="inlineStr">
        <is>
          <t>Sticker/unit</t>
        </is>
      </c>
      <c r="E28" s="12" t="inlineStr">
        <is>
          <t>EUR</t>
        </is>
      </c>
      <c r="F28" s="237" t="n">
        <v>0.2</v>
      </c>
      <c r="G28" s="50">
        <f>F28</f>
        <v/>
      </c>
      <c r="H28" s="50">
        <f>G28</f>
        <v/>
      </c>
      <c r="I28" s="50">
        <f>H28</f>
        <v/>
      </c>
      <c r="J28" s="50">
        <f>I28</f>
        <v/>
      </c>
      <c r="K28" s="50">
        <f>J28</f>
        <v/>
      </c>
      <c r="L28" s="50">
        <f>K28</f>
        <v/>
      </c>
      <c r="M28" s="50">
        <f>L28</f>
        <v/>
      </c>
      <c r="N28" s="50">
        <f>M28</f>
        <v/>
      </c>
      <c r="O28" s="238" t="n"/>
      <c r="P28" s="34" t="n"/>
    </row>
    <row r="29">
      <c r="D29" s="107" t="inlineStr">
        <is>
          <t>Flyer/unit</t>
        </is>
      </c>
      <c r="E29" s="12" t="inlineStr">
        <is>
          <t>EUR</t>
        </is>
      </c>
      <c r="F29" s="237" t="n">
        <v>0.2</v>
      </c>
      <c r="G29" s="50">
        <f>F29</f>
        <v/>
      </c>
      <c r="H29" s="50">
        <f>G29</f>
        <v/>
      </c>
      <c r="I29" s="50">
        <f>H29</f>
        <v/>
      </c>
      <c r="J29" s="50">
        <f>I29</f>
        <v/>
      </c>
      <c r="K29" s="50">
        <f>J29</f>
        <v/>
      </c>
      <c r="L29" s="50">
        <f>K29</f>
        <v/>
      </c>
      <c r="M29" s="50">
        <f>L29</f>
        <v/>
      </c>
      <c r="N29" s="50">
        <f>M29</f>
        <v/>
      </c>
      <c r="O29" s="238" t="n"/>
      <c r="P29" s="34" t="n"/>
    </row>
    <row r="30">
      <c r="D30" s="107" t="inlineStr">
        <is>
          <t>Delivery/unit AT</t>
        </is>
      </c>
      <c r="E30" s="12" t="inlineStr">
        <is>
          <t>EUR</t>
        </is>
      </c>
      <c r="F30" s="237" t="n">
        <v>6.6</v>
      </c>
      <c r="G30" s="50">
        <f>F30</f>
        <v/>
      </c>
      <c r="H30" s="50">
        <f>G30</f>
        <v/>
      </c>
      <c r="I30" s="50">
        <f>H30</f>
        <v/>
      </c>
      <c r="J30" s="50">
        <f>I30</f>
        <v/>
      </c>
      <c r="K30" s="50">
        <f>J30</f>
        <v/>
      </c>
      <c r="L30" s="50">
        <f>K30</f>
        <v/>
      </c>
      <c r="M30" s="50">
        <f>L30</f>
        <v/>
      </c>
      <c r="N30" s="50">
        <f>M30</f>
        <v/>
      </c>
      <c r="O30" s="238" t="n"/>
      <c r="P30" s="34" t="n"/>
    </row>
    <row r="31">
      <c r="D31" s="107" t="inlineStr">
        <is>
          <t>Delivery/unit DE</t>
        </is>
      </c>
      <c r="E31" s="12" t="inlineStr">
        <is>
          <t>EUR</t>
        </is>
      </c>
      <c r="F31" s="237" t="n">
        <v>4.9</v>
      </c>
      <c r="G31" s="50">
        <f>F31</f>
        <v/>
      </c>
      <c r="H31" s="50">
        <f>G31</f>
        <v/>
      </c>
      <c r="I31" s="50">
        <f>H31</f>
        <v/>
      </c>
      <c r="J31" s="50">
        <f>I31</f>
        <v/>
      </c>
      <c r="K31" s="50">
        <f>J31</f>
        <v/>
      </c>
      <c r="L31" s="50">
        <f>K31</f>
        <v/>
      </c>
      <c r="M31" s="50">
        <f>L31</f>
        <v/>
      </c>
      <c r="N31" s="50">
        <f>M31</f>
        <v/>
      </c>
      <c r="O31" s="238" t="n"/>
      <c r="P31" s="34" t="n"/>
    </row>
    <row r="32">
      <c r="D32" s="107" t="inlineStr">
        <is>
          <t>Cloud/unit</t>
        </is>
      </c>
      <c r="E32" s="12" t="inlineStr">
        <is>
          <t>EUR</t>
        </is>
      </c>
      <c r="F32" s="108" t="n">
        <v>0.04</v>
      </c>
      <c r="G32" s="109">
        <f>F32</f>
        <v/>
      </c>
      <c r="H32" s="109">
        <f>G32</f>
        <v/>
      </c>
      <c r="I32" s="109">
        <f>H32</f>
        <v/>
      </c>
      <c r="J32" s="109">
        <f>I32</f>
        <v/>
      </c>
      <c r="K32" s="109">
        <f>J32</f>
        <v/>
      </c>
      <c r="L32" s="109">
        <f>K32</f>
        <v/>
      </c>
      <c r="M32" s="109">
        <f>L32</f>
        <v/>
      </c>
      <c r="N32" s="109">
        <f>M32</f>
        <v/>
      </c>
      <c r="O32" s="12" t="inlineStr">
        <is>
          <t>assuming 100-200mb pdf size</t>
        </is>
      </c>
    </row>
    <row r="33">
      <c r="D33" s="107" t="n"/>
      <c r="F33" s="237" t="n"/>
      <c r="G33" s="50" t="n"/>
      <c r="H33" s="50" t="n"/>
      <c r="I33" s="50" t="n"/>
      <c r="J33" s="50" t="n"/>
      <c r="K33" s="50" t="n"/>
      <c r="L33" s="50" t="n"/>
      <c r="M33" s="50" t="n"/>
      <c r="N33" s="50" t="n"/>
      <c r="O33" s="238" t="n"/>
      <c r="P33" s="34" t="n"/>
    </row>
    <row r="34">
      <c r="D34" s="107" t="inlineStr">
        <is>
          <t>Storage costs per pallet per month</t>
        </is>
      </c>
      <c r="E34" s="12" t="inlineStr">
        <is>
          <t>EUR</t>
        </is>
      </c>
      <c r="F34" s="237" t="n">
        <v>18.5</v>
      </c>
      <c r="G34" s="239">
        <f>F34</f>
        <v/>
      </c>
      <c r="H34" s="239">
        <f>G34</f>
        <v/>
      </c>
      <c r="I34" s="239">
        <f>H34</f>
        <v/>
      </c>
      <c r="J34" s="239">
        <f>I34</f>
        <v/>
      </c>
      <c r="K34" s="239">
        <f>J34</f>
        <v/>
      </c>
      <c r="L34" s="239">
        <f>K34</f>
        <v/>
      </c>
      <c r="M34" s="239">
        <f>L34</f>
        <v/>
      </c>
      <c r="N34" s="239">
        <f>M34</f>
        <v/>
      </c>
      <c r="O34" s="238" t="inlineStr">
        <is>
          <t>assuming the same as per Elanders</t>
        </is>
      </c>
      <c r="P34" s="34" t="n"/>
    </row>
    <row r="35">
      <c r="D35" s="22" t="n"/>
      <c r="F35" s="240" t="n"/>
      <c r="G35" s="240" t="n"/>
      <c r="H35" s="240" t="n"/>
      <c r="I35" s="240" t="n"/>
      <c r="J35" s="240" t="n"/>
      <c r="K35" s="240" t="n"/>
      <c r="L35" s="240" t="n"/>
      <c r="M35" s="240" t="n"/>
    </row>
    <row r="36">
      <c r="D36" s="12" t="inlineStr">
        <is>
          <t>Elanders</t>
        </is>
      </c>
    </row>
    <row r="37">
      <c r="D37" s="22" t="inlineStr">
        <is>
          <t>Printing/40 pages unit</t>
        </is>
      </c>
      <c r="E37" s="12" t="inlineStr">
        <is>
          <t>EUR</t>
        </is>
      </c>
      <c r="F37" s="108" t="n">
        <v>15.88</v>
      </c>
      <c r="G37" s="108">
        <f>F37</f>
        <v/>
      </c>
      <c r="H37" s="108">
        <f>G37</f>
        <v/>
      </c>
      <c r="I37" s="108">
        <f>H37</f>
        <v/>
      </c>
      <c r="J37" s="108">
        <f>I37</f>
        <v/>
      </c>
      <c r="K37" s="108" t="n">
        <v>10.71</v>
      </c>
      <c r="L37" s="108" t="n">
        <v>8.029999999999999</v>
      </c>
      <c r="M37" s="108" t="n">
        <v>6.43</v>
      </c>
      <c r="N37" s="108" t="n">
        <v>6.09</v>
      </c>
      <c r="O37" s="12" t="inlineStr">
        <is>
          <t>1-5 orders assumed the same for now (at least for 6 months)</t>
        </is>
      </c>
    </row>
    <row r="38">
      <c r="D38" s="22" t="inlineStr">
        <is>
          <t>Printing/80 pages unit</t>
        </is>
      </c>
      <c r="E38" s="12" t="inlineStr">
        <is>
          <t>EUR</t>
        </is>
      </c>
      <c r="F38" s="109">
        <f>F37+0.15*20</f>
        <v/>
      </c>
      <c r="G38" s="109">
        <f>G37+0.15*20</f>
        <v/>
      </c>
      <c r="H38" s="109">
        <f>H37+0.15*20</f>
        <v/>
      </c>
      <c r="I38" s="109">
        <f>I37+0.15*20</f>
        <v/>
      </c>
      <c r="J38" s="109">
        <f>J37+0.15*20</f>
        <v/>
      </c>
      <c r="K38" s="109">
        <f>K37+0.15*20</f>
        <v/>
      </c>
      <c r="L38" s="109">
        <f>L37+0.15*20</f>
        <v/>
      </c>
      <c r="M38" s="109">
        <f>M37+0.15*20</f>
        <v/>
      </c>
      <c r="N38" s="109">
        <f>N37+0.15*20</f>
        <v/>
      </c>
    </row>
    <row r="39">
      <c r="D39" s="22" t="inlineStr">
        <is>
          <t>Total packaging per unit</t>
        </is>
      </c>
      <c r="E39" s="12" t="inlineStr">
        <is>
          <t>EUR</t>
        </is>
      </c>
      <c r="F39" s="108">
        <f>F40+F41+F42</f>
        <v/>
      </c>
      <c r="G39" s="109">
        <f>G40+G41+G42</f>
        <v/>
      </c>
      <c r="H39" s="109">
        <f>H40+H41+H42</f>
        <v/>
      </c>
      <c r="I39" s="109">
        <f>I40+I41+I42</f>
        <v/>
      </c>
      <c r="J39" s="109">
        <f>J40+J41+J42</f>
        <v/>
      </c>
      <c r="K39" s="109">
        <f>K40+K41+K42</f>
        <v/>
      </c>
      <c r="L39" s="109">
        <f>L40+L41+L42</f>
        <v/>
      </c>
      <c r="M39" s="109">
        <f>M40+M41+M42</f>
        <v/>
      </c>
      <c r="N39" s="109">
        <f>N40+N41+N42</f>
        <v/>
      </c>
    </row>
    <row r="40">
      <c r="D40" s="107" t="inlineStr">
        <is>
          <t>Packaging/unit</t>
        </is>
      </c>
      <c r="E40" s="12" t="inlineStr">
        <is>
          <t>EUR</t>
        </is>
      </c>
      <c r="F40" s="108" t="n">
        <v>2.25</v>
      </c>
      <c r="G40" s="109">
        <f>F40</f>
        <v/>
      </c>
      <c r="H40" s="109">
        <f>G40</f>
        <v/>
      </c>
      <c r="I40" s="109">
        <f>H40</f>
        <v/>
      </c>
      <c r="J40" s="109">
        <f>I40</f>
        <v/>
      </c>
      <c r="K40" s="109">
        <f>J40</f>
        <v/>
      </c>
      <c r="L40" s="109">
        <f>K40</f>
        <v/>
      </c>
      <c r="M40" s="109">
        <f>L40</f>
        <v/>
      </c>
      <c r="N40" s="109">
        <f>M40</f>
        <v/>
      </c>
    </row>
    <row r="41">
      <c r="D41" s="107" t="inlineStr">
        <is>
          <t>Sticker/unit</t>
        </is>
      </c>
      <c r="E41" s="12" t="inlineStr">
        <is>
          <t>EUR</t>
        </is>
      </c>
      <c r="F41" s="108" t="n">
        <v>0.2</v>
      </c>
      <c r="G41" s="109">
        <f>F41</f>
        <v/>
      </c>
      <c r="H41" s="109">
        <f>G41</f>
        <v/>
      </c>
      <c r="I41" s="109">
        <f>H41</f>
        <v/>
      </c>
      <c r="J41" s="109">
        <f>I41</f>
        <v/>
      </c>
      <c r="K41" s="109">
        <f>J41</f>
        <v/>
      </c>
      <c r="L41" s="109">
        <f>K41</f>
        <v/>
      </c>
      <c r="M41" s="109">
        <f>L41</f>
        <v/>
      </c>
      <c r="N41" s="109">
        <f>M41</f>
        <v/>
      </c>
    </row>
    <row r="42">
      <c r="D42" s="107" t="inlineStr">
        <is>
          <t>Flyer/unit</t>
        </is>
      </c>
      <c r="E42" s="12" t="inlineStr">
        <is>
          <t>EUR</t>
        </is>
      </c>
      <c r="F42" s="108" t="n">
        <v>0.2</v>
      </c>
      <c r="G42" s="109">
        <f>F42</f>
        <v/>
      </c>
      <c r="H42" s="109">
        <f>G42</f>
        <v/>
      </c>
      <c r="I42" s="109">
        <f>H42</f>
        <v/>
      </c>
      <c r="J42" s="109">
        <f>I42</f>
        <v/>
      </c>
      <c r="K42" s="109">
        <f>J42</f>
        <v/>
      </c>
      <c r="L42" s="109">
        <f>K42</f>
        <v/>
      </c>
      <c r="M42" s="109">
        <f>L42</f>
        <v/>
      </c>
      <c r="N42" s="109">
        <f>M42</f>
        <v/>
      </c>
    </row>
    <row r="43">
      <c r="D43" s="107" t="inlineStr">
        <is>
          <t>Delivery/unit AT</t>
        </is>
      </c>
      <c r="E43" s="12" t="inlineStr">
        <is>
          <t>EUR</t>
        </is>
      </c>
      <c r="F43" s="108" t="n">
        <v>5.1</v>
      </c>
      <c r="G43" s="109">
        <f>F43</f>
        <v/>
      </c>
      <c r="H43" s="109">
        <f>G43</f>
        <v/>
      </c>
      <c r="I43" s="109">
        <f>H43</f>
        <v/>
      </c>
      <c r="J43" s="109">
        <f>I43</f>
        <v/>
      </c>
      <c r="K43" s="109">
        <f>J43</f>
        <v/>
      </c>
      <c r="L43" s="109">
        <f>K43</f>
        <v/>
      </c>
      <c r="M43" s="109">
        <f>L43</f>
        <v/>
      </c>
      <c r="N43" s="109">
        <f>M43</f>
        <v/>
      </c>
    </row>
    <row r="44">
      <c r="D44" s="107" t="inlineStr">
        <is>
          <t>Delivery/unit DE</t>
        </is>
      </c>
      <c r="E44" s="12" t="inlineStr">
        <is>
          <t>EUR</t>
        </is>
      </c>
      <c r="F44" s="108" t="n">
        <v>2.95</v>
      </c>
      <c r="G44" s="109">
        <f>F44</f>
        <v/>
      </c>
      <c r="H44" s="109">
        <f>G44</f>
        <v/>
      </c>
      <c r="I44" s="109">
        <f>H44</f>
        <v/>
      </c>
      <c r="J44" s="109">
        <f>I44</f>
        <v/>
      </c>
      <c r="K44" s="109">
        <f>J44</f>
        <v/>
      </c>
      <c r="L44" s="109">
        <f>K44</f>
        <v/>
      </c>
      <c r="M44" s="109">
        <f>L44</f>
        <v/>
      </c>
      <c r="N44" s="109">
        <f>M44</f>
        <v/>
      </c>
    </row>
    <row r="45">
      <c r="D45" s="107" t="inlineStr">
        <is>
          <t>Cloud/unit</t>
        </is>
      </c>
      <c r="E45" s="12" t="inlineStr">
        <is>
          <t>EUR</t>
        </is>
      </c>
      <c r="F45" s="108" t="n">
        <v>0.04</v>
      </c>
      <c r="G45" s="109">
        <f>F45</f>
        <v/>
      </c>
      <c r="H45" s="109">
        <f>G45</f>
        <v/>
      </c>
      <c r="I45" s="109">
        <f>H45</f>
        <v/>
      </c>
      <c r="J45" s="109">
        <f>I45</f>
        <v/>
      </c>
      <c r="K45" s="109">
        <f>J45</f>
        <v/>
      </c>
      <c r="L45" s="109">
        <f>K45</f>
        <v/>
      </c>
      <c r="M45" s="109">
        <f>L45</f>
        <v/>
      </c>
      <c r="N45" s="109">
        <f>M45</f>
        <v/>
      </c>
      <c r="O45" s="12" t="inlineStr">
        <is>
          <t>assuming 100-200mb pdf size</t>
        </is>
      </c>
    </row>
    <row r="46">
      <c r="D46" s="107" t="n"/>
      <c r="F46" s="237" t="n"/>
      <c r="G46" s="239" t="n"/>
      <c r="H46" s="239" t="n"/>
      <c r="I46" s="239" t="n"/>
      <c r="J46" s="239" t="n"/>
      <c r="K46" s="239" t="n"/>
      <c r="L46" s="239" t="n"/>
      <c r="M46" s="239" t="n"/>
      <c r="N46" s="239" t="n"/>
    </row>
    <row r="47">
      <c r="D47" s="107" t="inlineStr">
        <is>
          <t>Storage costs per pallet per month</t>
        </is>
      </c>
      <c r="E47" s="12" t="inlineStr">
        <is>
          <t>EUR</t>
        </is>
      </c>
      <c r="F47" s="237" t="n">
        <v>18.5</v>
      </c>
      <c r="G47" s="239">
        <f>F47</f>
        <v/>
      </c>
      <c r="H47" s="239">
        <f>G47</f>
        <v/>
      </c>
      <c r="I47" s="239">
        <f>H47</f>
        <v/>
      </c>
      <c r="J47" s="239">
        <f>I47</f>
        <v/>
      </c>
      <c r="K47" s="239">
        <f>J47</f>
        <v/>
      </c>
      <c r="L47" s="239">
        <f>K47</f>
        <v/>
      </c>
      <c r="M47" s="239">
        <f>L47</f>
        <v/>
      </c>
      <c r="N47" s="239">
        <f>M47</f>
        <v/>
      </c>
    </row>
    <row r="48">
      <c r="D48" s="107" t="n"/>
      <c r="F48" s="237" t="n"/>
      <c r="G48" s="239" t="n"/>
      <c r="H48" s="239" t="n"/>
      <c r="I48" s="239" t="n"/>
      <c r="J48" s="239" t="n"/>
      <c r="K48" s="239" t="n"/>
      <c r="L48" s="239" t="n"/>
      <c r="M48" s="239" t="n"/>
      <c r="N48" s="239" t="n"/>
    </row>
    <row r="49">
      <c r="D49" s="107" t="n"/>
      <c r="F49" s="237" t="n"/>
      <c r="G49" s="237" t="n"/>
      <c r="H49" s="237" t="n"/>
      <c r="I49" s="237" t="n"/>
      <c r="J49" s="237" t="n"/>
      <c r="K49" s="237" t="n"/>
      <c r="L49" s="237" t="n"/>
      <c r="M49" s="237" t="n"/>
      <c r="N49" s="55" t="n"/>
    </row>
    <row r="50">
      <c r="D50" s="22" t="inlineStr">
        <is>
          <t>Packaging/unit</t>
        </is>
      </c>
      <c r="E50" s="12" t="inlineStr">
        <is>
          <t>EUR</t>
        </is>
      </c>
      <c r="F50" s="29" t="n">
        <v>2.25</v>
      </c>
      <c r="G50" s="50" t="n">
        <v>2.25</v>
      </c>
      <c r="H50" s="50" t="n">
        <v>2.25</v>
      </c>
      <c r="I50" s="57" t="n">
        <v>2.25</v>
      </c>
      <c r="J50" s="57" t="n">
        <v>2.25</v>
      </c>
      <c r="K50" s="50" t="n">
        <v>2.25</v>
      </c>
      <c r="L50" s="50" t="n">
        <v>2.25</v>
      </c>
      <c r="M50" s="50" t="n">
        <v>2.25</v>
      </c>
    </row>
    <row r="51">
      <c r="D51" s="18" t="inlineStr">
        <is>
          <t>Cloud/unit</t>
        </is>
      </c>
      <c r="E51" s="12" t="inlineStr">
        <is>
          <t>EUR</t>
        </is>
      </c>
      <c r="F51" s="29" t="n">
        <v>0.04</v>
      </c>
      <c r="G51" s="50" t="n">
        <v>0.04</v>
      </c>
      <c r="H51" s="50" t="n">
        <v>0.04</v>
      </c>
      <c r="I51" s="50" t="n">
        <v>0.04</v>
      </c>
      <c r="J51" s="57" t="n">
        <v>0.04</v>
      </c>
      <c r="K51" s="50" t="n">
        <v>0.04</v>
      </c>
      <c r="L51" s="50" t="n">
        <v>0.04</v>
      </c>
      <c r="M51" s="50" t="n">
        <v>0.04</v>
      </c>
    </row>
    <row r="52">
      <c r="D52" s="18" t="inlineStr">
        <is>
          <t>Delivery/unit</t>
        </is>
      </c>
      <c r="E52" s="12" t="inlineStr">
        <is>
          <t>EUR</t>
        </is>
      </c>
      <c r="F52" s="241" t="n">
        <v>0</v>
      </c>
      <c r="G52" s="239" t="n">
        <v>0</v>
      </c>
      <c r="H52" s="239" t="n">
        <v>0</v>
      </c>
      <c r="I52" s="239" t="n">
        <v>0</v>
      </c>
      <c r="J52" s="242" t="n">
        <v>0</v>
      </c>
      <c r="K52" s="239" t="n">
        <v>0</v>
      </c>
      <c r="L52" s="239" t="n">
        <v>0</v>
      </c>
      <c r="M52" s="239" t="n">
        <v>0</v>
      </c>
    </row>
    <row r="53">
      <c r="D53" s="17" t="inlineStr">
        <is>
          <t>Total</t>
        </is>
      </c>
      <c r="E53" s="12" t="inlineStr">
        <is>
          <t>EUR</t>
        </is>
      </c>
      <c r="F53" s="243" t="n">
        <v>28.88001876172608</v>
      </c>
      <c r="G53" s="243" t="n">
        <v>18.40287054409005</v>
      </c>
      <c r="H53" s="243" t="n">
        <v>14.99874296435272</v>
      </c>
      <c r="I53" s="243" t="n">
        <v>13.2021200750469</v>
      </c>
      <c r="J53" s="243" t="n">
        <v>12.37</v>
      </c>
      <c r="K53" s="243" t="n">
        <v>12.06741088180113</v>
      </c>
      <c r="L53" s="243" t="n">
        <v>11.42440900562852</v>
      </c>
      <c r="M53" s="243" t="n">
        <v>10.95604420800873</v>
      </c>
    </row>
    <row r="54">
      <c r="D54" s="22" t="inlineStr">
        <is>
          <t>Variable cost factor (10=1), assumed</t>
        </is>
      </c>
      <c r="F54" s="240" t="n">
        <v>1</v>
      </c>
      <c r="G54" s="240" t="n">
        <v>0.7461105005945897</v>
      </c>
      <c r="H54" s="240" t="n">
        <v>0.6236793399521092</v>
      </c>
      <c r="I54" s="240" t="n">
        <v>0.5724945824464306</v>
      </c>
      <c r="J54" s="240" t="n">
        <v>0.5495800283474001</v>
      </c>
      <c r="K54" s="240" t="n">
        <v>0.525559055383659</v>
      </c>
      <c r="L54" s="240" t="n">
        <v>0.5117744840764843</v>
      </c>
      <c r="M54" s="240" t="n">
        <v>0.3664333289700607</v>
      </c>
    </row>
    <row r="55">
      <c r="D55" s="22" t="n"/>
      <c r="F55" s="240" t="n"/>
      <c r="G55" s="240" t="n"/>
      <c r="H55" s="240" t="n"/>
      <c r="I55" s="240" t="n"/>
      <c r="J55" s="240" t="n"/>
      <c r="K55" s="240" t="n"/>
      <c r="L55" s="240" t="n"/>
      <c r="M55" s="240" t="n"/>
    </row>
    <row r="56">
      <c r="B56" s="30" t="inlineStr">
        <is>
          <t>2.1.2</t>
        </is>
      </c>
      <c r="D56" s="28" t="inlineStr">
        <is>
          <t>Payment processing fees</t>
        </is>
      </c>
    </row>
    <row r="58">
      <c r="D58" s="12" t="inlineStr">
        <is>
          <t>Visa/Mastercard debit</t>
        </is>
      </c>
      <c r="E58" s="12" t="inlineStr">
        <is>
          <t>% from transaction</t>
        </is>
      </c>
      <c r="F58" s="60" t="n">
        <v>0.0089</v>
      </c>
      <c r="L58" s="12" t="inlineStr">
        <is>
          <t>nexi.at</t>
        </is>
      </c>
    </row>
    <row r="59">
      <c r="D59" s="12" t="inlineStr">
        <is>
          <t>Visa/Mastercard credit</t>
        </is>
      </c>
      <c r="E59" s="12" t="inlineStr">
        <is>
          <t>% from transaction</t>
        </is>
      </c>
      <c r="F59" s="60" t="n">
        <v>0.0169</v>
      </c>
      <c r="L59" s="12" t="inlineStr">
        <is>
          <t>nexi.at</t>
        </is>
      </c>
    </row>
    <row r="60">
      <c r="D60" s="12" t="inlineStr">
        <is>
          <t>Stripe</t>
        </is>
      </c>
      <c r="E60" s="12" t="inlineStr">
        <is>
          <t>% from transaction</t>
        </is>
      </c>
      <c r="F60" s="60" t="n">
        <v>0.015</v>
      </c>
      <c r="L60" s="12" t="inlineStr">
        <is>
          <t>nexi.at</t>
        </is>
      </c>
      <c r="P60" s="12">
        <f>70</f>
        <v/>
      </c>
      <c r="Q60" s="99" t="n">
        <v>0.015</v>
      </c>
      <c r="R60" s="12">
        <f>P60*Q60</f>
        <v/>
      </c>
      <c r="S60" s="100">
        <f>P60-R60</f>
        <v/>
      </c>
    </row>
    <row r="61">
      <c r="P61" s="12">
        <f>P60</f>
        <v/>
      </c>
      <c r="Q61" s="244">
        <f>R61/P61</f>
        <v/>
      </c>
      <c r="R61" s="12">
        <f>P61-S61</f>
        <v/>
      </c>
      <c r="S61" s="12" t="n">
        <v>67.47</v>
      </c>
    </row>
    <row r="62">
      <c r="D62" s="12" t="inlineStr">
        <is>
          <t>Visa/Mastercard debit</t>
        </is>
      </c>
      <c r="E62" s="12" t="inlineStr">
        <is>
          <t>fixed fee, EUR</t>
        </is>
      </c>
      <c r="F62" s="216" t="n">
        <v>0.08</v>
      </c>
      <c r="L62" s="12" t="inlineStr">
        <is>
          <t>nexi.at</t>
        </is>
      </c>
    </row>
    <row r="63">
      <c r="D63" s="12" t="inlineStr">
        <is>
          <t>Visa/Mastercard credit</t>
        </is>
      </c>
      <c r="E63" s="12" t="inlineStr">
        <is>
          <t>fixed fee, EUR</t>
        </is>
      </c>
      <c r="F63" s="216" t="n">
        <v>0.25</v>
      </c>
      <c r="L63" s="12" t="inlineStr">
        <is>
          <t>nexi.at</t>
        </is>
      </c>
    </row>
    <row r="64">
      <c r="D64" s="12" t="inlineStr">
        <is>
          <t>Stripe</t>
        </is>
      </c>
      <c r="E64" s="12" t="inlineStr">
        <is>
          <t>fixed fee, EUR</t>
        </is>
      </c>
      <c r="F64" s="216" t="n">
        <v>0.35</v>
      </c>
      <c r="L64" s="12" t="inlineStr">
        <is>
          <t>nexi.at</t>
        </is>
      </c>
      <c r="S64" s="100">
        <f>S61+S60</f>
        <v/>
      </c>
    </row>
    <row r="66">
      <c r="D66" s="12" t="inlineStr">
        <is>
          <t>Assumed payment mix</t>
        </is>
      </c>
    </row>
    <row r="68">
      <c r="D68" s="12" t="inlineStr">
        <is>
          <t>Visa/Mastercard debit</t>
        </is>
      </c>
      <c r="E68" s="12" t="inlineStr">
        <is>
          <t>% of total transactions</t>
        </is>
      </c>
      <c r="F68" s="58" t="n">
        <v>0.7</v>
      </c>
    </row>
    <row r="69">
      <c r="D69" s="12" t="inlineStr">
        <is>
          <t>Visa/Mastercard credit</t>
        </is>
      </c>
      <c r="E69" s="12" t="inlineStr">
        <is>
          <t>% of total transactions</t>
        </is>
      </c>
      <c r="F69" s="58" t="n">
        <v>0.15</v>
      </c>
    </row>
    <row r="70">
      <c r="D70" s="12" t="inlineStr">
        <is>
          <t>Stripe</t>
        </is>
      </c>
      <c r="E70" s="12" t="inlineStr">
        <is>
          <t>% of total transactions</t>
        </is>
      </c>
      <c r="F70" s="58" t="n">
        <v>0.15</v>
      </c>
    </row>
    <row r="74">
      <c r="B74" s="30" t="inlineStr">
        <is>
          <t>2.1.3</t>
        </is>
      </c>
      <c r="D74" s="28" t="inlineStr">
        <is>
          <t>Design fees</t>
        </is>
      </c>
    </row>
    <row r="76">
      <c r="D76" s="12" t="inlineStr">
        <is>
          <t>Cost per template (40 and 80 pages) with multiple variations</t>
        </is>
      </c>
      <c r="E76" s="14" t="inlineStr">
        <is>
          <t>EUR</t>
        </is>
      </c>
      <c r="F76" s="55" t="n">
        <v>500</v>
      </c>
    </row>
    <row r="77">
      <c r="D77" s="12" t="inlineStr">
        <is>
          <t>Royalty fee</t>
        </is>
      </c>
      <c r="E77" s="12" t="inlineStr">
        <is>
          <t>% from revenue</t>
        </is>
      </c>
      <c r="F77" s="58" t="n">
        <v>0.03</v>
      </c>
    </row>
    <row r="81">
      <c r="B81" s="30" t="inlineStr">
        <is>
          <t>2.1.4</t>
        </is>
      </c>
      <c r="D81" s="28" t="inlineStr">
        <is>
          <t>B2B</t>
        </is>
      </c>
    </row>
    <row r="82">
      <c r="F82" s="8" t="n">
        <v>2026</v>
      </c>
      <c r="G82" s="8">
        <f>F82+1</f>
        <v/>
      </c>
      <c r="H82" s="8">
        <f>G82+1</f>
        <v/>
      </c>
      <c r="I82" s="8" t="n">
        <v>2029</v>
      </c>
    </row>
    <row r="83">
      <c r="D83" s="12" t="inlineStr">
        <is>
          <t>Premium to B2C Price</t>
        </is>
      </c>
      <c r="F83" s="58" t="n">
        <v>0.1</v>
      </c>
      <c r="G83" s="34" t="n">
        <v>0.1</v>
      </c>
      <c r="H83" s="34" t="n">
        <v>0.1</v>
      </c>
      <c r="I83" s="34" t="n">
        <v>0.1</v>
      </c>
    </row>
    <row r="84">
      <c r="D84" s="12" t="inlineStr">
        <is>
          <t>Share of B2B orders from total</t>
        </is>
      </c>
      <c r="F84" s="58" t="n">
        <v>0.02</v>
      </c>
      <c r="G84" s="34" t="n">
        <v>0.04</v>
      </c>
      <c r="H84" s="34" t="n">
        <v>0.06</v>
      </c>
      <c r="I84" s="34" t="n">
        <v>0.08</v>
      </c>
    </row>
    <row r="87">
      <c r="B87" s="30" t="n">
        <v>2.2</v>
      </c>
      <c r="D87" s="28" t="inlineStr">
        <is>
          <t>Austrian tax &amp; social security (Einzelunternehmer)</t>
        </is>
      </c>
    </row>
    <row r="89">
      <c r="D89" s="17" t="inlineStr">
        <is>
          <t>SVS contributions (sole trader)</t>
        </is>
      </c>
    </row>
    <row r="90">
      <c r="D90" s="12" t="inlineStr">
        <is>
          <t>Pension insurance (PV)</t>
        </is>
      </c>
      <c r="E90" s="12" t="inlineStr">
        <is>
          <t>% of base</t>
        </is>
      </c>
      <c r="F90" s="120" t="n">
        <v>0.185</v>
      </c>
    </row>
    <row r="91">
      <c r="D91" s="12" t="inlineStr">
        <is>
          <t>Health insurance (KV)</t>
        </is>
      </c>
      <c r="E91" s="12" t="inlineStr">
        <is>
          <t>% of base</t>
        </is>
      </c>
      <c r="F91" s="120" t="n">
        <v>0.068</v>
      </c>
    </row>
    <row r="92">
      <c r="D92" s="12" t="inlineStr">
        <is>
          <t>Self-employment provision (Selbstaendigenvorsorge)</t>
        </is>
      </c>
      <c r="E92" s="12" t="inlineStr">
        <is>
          <t>% of base</t>
        </is>
      </c>
      <c r="F92" s="120" t="n">
        <v>0.0153</v>
      </c>
    </row>
    <row r="93">
      <c r="D93" s="12" t="inlineStr">
        <is>
          <t>Total contribution rate</t>
        </is>
      </c>
      <c r="E93" s="12" t="inlineStr">
        <is>
          <t>% of base</t>
        </is>
      </c>
      <c r="F93" s="121">
        <f>SUM(F90:F92)</f>
        <v/>
      </c>
    </row>
    <row r="94">
      <c r="D94" s="12" t="inlineStr">
        <is>
          <t>Accident insurance (UV), flat</t>
        </is>
      </c>
      <c r="E94" s="12" t="inlineStr">
        <is>
          <t>EUR/month</t>
        </is>
      </c>
      <c r="F94" s="122" t="n">
        <v>12.95</v>
      </c>
    </row>
    <row r="95">
      <c r="D95" s="12" t="inlineStr">
        <is>
          <t>Minimum contribution base</t>
        </is>
      </c>
      <c r="E95" s="12" t="inlineStr">
        <is>
          <t>EUR/month</t>
        </is>
      </c>
      <c r="F95" s="122" t="n">
        <v>551.1</v>
      </c>
    </row>
    <row r="96">
      <c r="D96" s="12" t="inlineStr">
        <is>
          <t>Maximum contribution base</t>
        </is>
      </c>
      <c r="E96" s="12" t="inlineStr">
        <is>
          <t>EUR/month</t>
        </is>
      </c>
      <c r="F96" s="122" t="n">
        <v>8085</v>
      </c>
    </row>
    <row r="98">
      <c r="D98" s="17" t="inlineStr">
        <is>
          <t>Income tax brackets 2026 (progressive)</t>
        </is>
      </c>
    </row>
    <row r="99">
      <c r="F99" s="123" t="inlineStr">
        <is>
          <t>From (EUR)</t>
        </is>
      </c>
      <c r="G99" s="123" t="inlineStr">
        <is>
          <t>To (EUR)</t>
        </is>
      </c>
      <c r="H99" s="123" t="inlineStr">
        <is>
          <t>Marginal rate</t>
        </is>
      </c>
    </row>
    <row r="100">
      <c r="D100" s="12" t="inlineStr">
        <is>
          <t>Tier 1</t>
        </is>
      </c>
      <c r="F100" s="124" t="n">
        <v>0</v>
      </c>
      <c r="G100" s="124" t="n">
        <v>13539</v>
      </c>
      <c r="H100" s="125" t="n">
        <v>0</v>
      </c>
    </row>
    <row r="101">
      <c r="D101" s="12" t="inlineStr">
        <is>
          <t>Tier 2</t>
        </is>
      </c>
      <c r="F101" s="126">
        <f>G100</f>
        <v/>
      </c>
      <c r="G101" s="124" t="n">
        <v>21992</v>
      </c>
      <c r="H101" s="125" t="n">
        <v>0.2</v>
      </c>
    </row>
    <row r="102">
      <c r="D102" s="12" t="inlineStr">
        <is>
          <t>Tier 3</t>
        </is>
      </c>
      <c r="F102" s="126">
        <f>G101</f>
        <v/>
      </c>
      <c r="G102" s="124" t="n">
        <v>36458</v>
      </c>
      <c r="H102" s="125" t="n">
        <v>0.3</v>
      </c>
    </row>
    <row r="103">
      <c r="D103" s="12" t="inlineStr">
        <is>
          <t>Tier 4</t>
        </is>
      </c>
      <c r="F103" s="126">
        <f>G102</f>
        <v/>
      </c>
      <c r="G103" s="124" t="n">
        <v>70365</v>
      </c>
      <c r="H103" s="125" t="n">
        <v>0.4</v>
      </c>
    </row>
    <row r="104">
      <c r="D104" s="12" t="inlineStr">
        <is>
          <t>Tier 5</t>
        </is>
      </c>
      <c r="F104" s="126">
        <f>G103</f>
        <v/>
      </c>
      <c r="G104" s="124" t="n">
        <v>104859</v>
      </c>
      <c r="H104" s="125" t="n">
        <v>0.48</v>
      </c>
    </row>
    <row r="105">
      <c r="D105" s="12" t="inlineStr">
        <is>
          <t>Tier 6</t>
        </is>
      </c>
      <c r="F105" s="126">
        <f>G104</f>
        <v/>
      </c>
      <c r="G105" s="124" t="n">
        <v>1000000</v>
      </c>
      <c r="H105" s="125" t="n">
        <v>0.5</v>
      </c>
    </row>
    <row r="106">
      <c r="D106" s="12" t="inlineStr">
        <is>
          <t>Tier 7</t>
        </is>
      </c>
      <c r="F106" s="126">
        <f>G105</f>
        <v/>
      </c>
      <c r="G106" s="124" t="n">
        <v>999999999</v>
      </c>
      <c r="H106" s="125" t="n">
        <v>0.55</v>
      </c>
    </row>
    <row r="108">
      <c r="D108" s="17" t="inlineStr">
        <is>
          <t>Gewinnfreibetrag &amp; loss relief</t>
        </is>
      </c>
    </row>
    <row r="109">
      <c r="D109" s="12" t="inlineStr">
        <is>
          <t>Grundfreibetrag rate</t>
        </is>
      </c>
      <c r="E109" s="12" t="inlineStr">
        <is>
          <t>% of profit</t>
        </is>
      </c>
      <c r="F109" s="125" t="n">
        <v>0.15</v>
      </c>
    </row>
    <row r="110">
      <c r="D110" s="12" t="inlineStr">
        <is>
          <t>Profit cap for Grundfreibetrag</t>
        </is>
      </c>
      <c r="E110" s="12" t="inlineStr">
        <is>
          <t>EUR</t>
        </is>
      </c>
      <c r="F110" s="124" t="n">
        <v>33000</v>
      </c>
    </row>
    <row r="111">
      <c r="D111" s="12" t="inlineStr">
        <is>
          <t>Max Grundfreibetrag</t>
        </is>
      </c>
      <c r="E111" s="12" t="inlineStr">
        <is>
          <t>EUR</t>
        </is>
      </c>
      <c r="F111" s="127">
        <f>F109*F110</f>
        <v/>
      </c>
    </row>
    <row r="112">
      <c r="D112" s="12" t="inlineStr">
        <is>
          <t>Loss carry-forward offsettable</t>
        </is>
      </c>
      <c r="E112" s="12" t="inlineStr">
        <is>
          <t>% of income</t>
        </is>
      </c>
      <c r="F112" s="125" t="n">
        <v>1</v>
      </c>
    </row>
    <row r="114">
      <c r="D114" t="inlineStr">
        <is>
          <t>Customer delivery charge AT (face value)</t>
        </is>
      </c>
      <c r="E114" t="inlineStr">
        <is>
          <t>EUR</t>
        </is>
      </c>
      <c r="F114" t="n">
        <v>4.99</v>
      </c>
      <c r="O114" t="inlineStr">
        <is>
          <t>Capped on par with CEWE. Aevia subsidises the rest of the ~6.60 carrier cost.</t>
        </is>
      </c>
    </row>
  </sheetData>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3:J6"/>
  <sheetViews>
    <sheetView workbookViewId="0">
      <selection activeCell="K4" sqref="K4"/>
    </sheetView>
  </sheetViews>
  <sheetFormatPr baseColWidth="8" defaultRowHeight="14.4"/>
  <cols>
    <col width="14.77734375" customWidth="1" style="180" min="2" max="2"/>
    <col width="12" customWidth="1" style="180" min="3" max="3"/>
    <col width="21.77734375" customWidth="1" style="180" min="4" max="4"/>
  </cols>
  <sheetData>
    <row r="3">
      <c r="E3" s="179" t="inlineStr">
        <is>
          <t>extras</t>
        </is>
      </c>
      <c r="H3" s="179" t="inlineStr">
        <is>
          <t>delivery options</t>
        </is>
      </c>
    </row>
    <row r="4">
      <c r="B4" t="inlineStr">
        <is>
          <t>Size</t>
        </is>
      </c>
      <c r="C4" t="inlineStr">
        <is>
          <t>Price (excl. delivery)</t>
        </is>
      </c>
      <c r="D4" t="inlineStr">
        <is>
          <t># photos</t>
        </is>
      </c>
      <c r="E4" t="inlineStr">
        <is>
          <t>gift wrap</t>
        </is>
      </c>
      <c r="F4" t="inlineStr">
        <is>
          <t>free shipping</t>
        </is>
      </c>
      <c r="G4" t="inlineStr">
        <is>
          <t>perks</t>
        </is>
      </c>
      <c r="H4" t="inlineStr">
        <is>
          <t>free</t>
        </is>
      </c>
      <c r="I4" t="inlineStr">
        <is>
          <t>standard</t>
        </is>
      </c>
      <c r="J4" t="inlineStr">
        <is>
          <t>express</t>
        </is>
      </c>
    </row>
    <row r="5">
      <c r="A5" t="inlineStr">
        <is>
          <t>Journi</t>
        </is>
      </c>
      <c r="B5" t="inlineStr">
        <is>
          <t>40 pages</t>
        </is>
      </c>
      <c r="C5" t="n">
        <v>43</v>
      </c>
      <c r="D5" t="n">
        <v>56</v>
      </c>
      <c r="E5" t="n">
        <v>2.99</v>
      </c>
      <c r="F5" t="inlineStr">
        <is>
          <t>from 60</t>
        </is>
      </c>
      <c r="G5" t="inlineStr">
        <is>
          <t>20% off with registration</t>
        </is>
      </c>
      <c r="H5" t="inlineStr">
        <is>
          <t>~10 working days</t>
        </is>
      </c>
      <c r="I5" t="inlineStr">
        <is>
          <t>4.99 (7 working days)</t>
        </is>
      </c>
      <c r="J5" t="inlineStr">
        <is>
          <t>9.99 (6 working days)</t>
        </is>
      </c>
    </row>
    <row r="6">
      <c r="A6" t="inlineStr">
        <is>
          <t>CEWE</t>
        </is>
      </c>
      <c r="B6" t="inlineStr">
        <is>
          <t>42 pages</t>
        </is>
      </c>
      <c r="C6" t="n">
        <v>55.15</v>
      </c>
      <c r="D6" t="n">
        <v>56</v>
      </c>
      <c r="E6" t="n">
        <v>4.99</v>
      </c>
      <c r="H6" t="inlineStr">
        <is>
          <t>-</t>
        </is>
      </c>
      <c r="I6" t="inlineStr">
        <is>
          <t>5.49 (6-7 working days)</t>
        </is>
      </c>
      <c r="J6" t="inlineStr">
        <is>
          <t>12.99 (6 working days)</t>
        </is>
      </c>
    </row>
  </sheetData>
  <mergeCells count="2">
    <mergeCell ref="H3:J3"/>
    <mergeCell ref="E3:G3"/>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B3:F37"/>
  <sheetViews>
    <sheetView workbookViewId="0">
      <selection activeCell="B49" sqref="B49"/>
    </sheetView>
  </sheetViews>
  <sheetFormatPr baseColWidth="8" defaultRowHeight="14.4"/>
  <cols>
    <col width="18.33203125" customWidth="1" style="180" min="2" max="2"/>
    <col width="14.109375" bestFit="1" customWidth="1" style="180" min="3" max="3"/>
    <col width="12" customWidth="1" style="180" min="4" max="4"/>
    <col width="14.6640625" customWidth="1" style="180" min="5" max="5"/>
  </cols>
  <sheetData>
    <row r="3">
      <c r="C3" t="inlineStr">
        <is>
          <t>Aug</t>
        </is>
      </c>
      <c r="D3" t="inlineStr">
        <is>
          <t>Sep</t>
        </is>
      </c>
      <c r="E3" t="inlineStr">
        <is>
          <t>Oct</t>
        </is>
      </c>
      <c r="F3" t="inlineStr">
        <is>
          <t>MAU,k</t>
        </is>
      </c>
    </row>
    <row r="4">
      <c r="B4" t="inlineStr">
        <is>
          <t>Journi</t>
        </is>
      </c>
      <c r="C4" t="n">
        <v>331.4</v>
      </c>
      <c r="D4" t="n">
        <v>328.8</v>
      </c>
      <c r="E4" t="n">
        <v>252.4</v>
      </c>
      <c r="F4">
        <f>AVERAGE(C4:E4)</f>
        <v/>
      </c>
    </row>
    <row r="6">
      <c r="B6" t="inlineStr">
        <is>
          <t>bounce rate</t>
        </is>
      </c>
      <c r="C6" s="82" t="n">
        <v>0.4456</v>
      </c>
    </row>
    <row r="8">
      <c r="B8" t="inlineStr">
        <is>
          <t>Top-5 countries</t>
        </is>
      </c>
    </row>
    <row r="9">
      <c r="D9" t="inlineStr">
        <is>
          <t>MAU by country,k</t>
        </is>
      </c>
      <c r="E9" t="inlineStr">
        <is>
          <t>monthly purchase, k</t>
        </is>
      </c>
      <c r="F9" t="inlineStr">
        <is>
          <t>yearly purchase</t>
        </is>
      </c>
    </row>
    <row r="10">
      <c r="B10" t="inlineStr">
        <is>
          <t>US</t>
        </is>
      </c>
      <c r="C10" s="82" t="n">
        <v>0.1929</v>
      </c>
      <c r="D10" s="1">
        <f>C10*$F$4</f>
        <v/>
      </c>
      <c r="E10" s="185">
        <f>D10*$C$24</f>
        <v/>
      </c>
      <c r="F10" s="185">
        <f>E10*12</f>
        <v/>
      </c>
    </row>
    <row r="11">
      <c r="B11" t="inlineStr">
        <is>
          <t>Germany</t>
        </is>
      </c>
      <c r="C11" s="82" t="n">
        <v>0.1642</v>
      </c>
      <c r="D11" s="1">
        <f>C11*$F$4</f>
        <v/>
      </c>
      <c r="E11" s="185">
        <f>D11*$C$24</f>
        <v/>
      </c>
      <c r="F11" s="185">
        <f>E11*12</f>
        <v/>
      </c>
    </row>
    <row r="12">
      <c r="B12" t="inlineStr">
        <is>
          <t>France</t>
        </is>
      </c>
      <c r="C12" s="82" t="n">
        <v>0.1235</v>
      </c>
      <c r="D12" s="1">
        <f>C12*$F$4</f>
        <v/>
      </c>
      <c r="E12" s="185">
        <f>D12*$C$24</f>
        <v/>
      </c>
      <c r="F12" s="185">
        <f>E12*12</f>
        <v/>
      </c>
    </row>
    <row r="13">
      <c r="B13" t="inlineStr">
        <is>
          <t xml:space="preserve">Italy </t>
        </is>
      </c>
      <c r="C13" s="82" t="n">
        <v>0.1126</v>
      </c>
      <c r="D13" s="1">
        <f>C13*$F$4</f>
        <v/>
      </c>
      <c r="E13" s="185">
        <f>D13*$C$24</f>
        <v/>
      </c>
      <c r="F13" s="185">
        <f>E13*12</f>
        <v/>
      </c>
    </row>
    <row r="14">
      <c r="B14" t="inlineStr">
        <is>
          <t>Austria</t>
        </is>
      </c>
      <c r="C14" s="82" t="n">
        <v>0.0602</v>
      </c>
      <c r="D14" s="1">
        <f>C14*$F$4</f>
        <v/>
      </c>
      <c r="E14" s="185">
        <f>D14*$C$24</f>
        <v/>
      </c>
      <c r="F14" s="185">
        <f>E14*12</f>
        <v/>
      </c>
    </row>
    <row r="15">
      <c r="B15" t="inlineStr">
        <is>
          <t>Other</t>
        </is>
      </c>
      <c r="C15" s="82">
        <f>1-SUM(C10:C14)</f>
        <v/>
      </c>
      <c r="D15" s="1">
        <f>C15*$F$4</f>
        <v/>
      </c>
      <c r="E15" s="185">
        <f>D15*$C$24</f>
        <v/>
      </c>
      <c r="F15" s="185">
        <f>E15*12</f>
        <v/>
      </c>
    </row>
    <row r="16">
      <c r="F16" s="185">
        <f>SUM(F10:F15)</f>
        <v/>
      </c>
    </row>
    <row r="19">
      <c r="B19" t="inlineStr">
        <is>
          <t>Conversion rates (visits to purchase)</t>
        </is>
      </c>
      <c r="E19" t="inlineStr">
        <is>
          <t>https://gripsintelligence.com/insights/retailers/mixbook.com?utm_source=chatgpt.com</t>
        </is>
      </c>
    </row>
    <row r="21">
      <c r="B21" t="inlineStr">
        <is>
          <t>Mixbook</t>
        </is>
      </c>
      <c r="C21" s="82" t="n">
        <v>0.0225</v>
      </c>
    </row>
    <row r="22">
      <c r="B22" t="inlineStr">
        <is>
          <t>Milk books</t>
        </is>
      </c>
      <c r="C22" s="82" t="n">
        <v>0.0325</v>
      </c>
    </row>
    <row r="23">
      <c r="B23" t="inlineStr">
        <is>
          <t>Artifact Uprising</t>
        </is>
      </c>
      <c r="C23" s="82" t="n">
        <v>0.0425</v>
      </c>
    </row>
    <row r="24">
      <c r="C24" s="82">
        <f>AVERAGE(C21:C23)</f>
        <v/>
      </c>
    </row>
    <row r="26">
      <c r="B26" t="inlineStr">
        <is>
          <t>Annual revenue 2024, EUR</t>
        </is>
      </c>
      <c r="C26" s="1">
        <f>20*10^6</f>
        <v/>
      </c>
      <c r="D26" t="inlineStr">
        <is>
          <t>https://www.trendingtopics.eu/das-grosse-trending-topics-jahres-voting-2024-software/</t>
        </is>
      </c>
    </row>
    <row r="28">
      <c r="B28" t="inlineStr">
        <is>
          <t>Journi book price</t>
        </is>
      </c>
    </row>
    <row r="29">
      <c r="C29" t="inlineStr">
        <is>
          <t>EUR</t>
        </is>
      </c>
    </row>
    <row r="30">
      <c r="B30" t="inlineStr">
        <is>
          <t>Europe</t>
        </is>
      </c>
      <c r="C30" t="n">
        <v>45</v>
      </c>
    </row>
    <row r="31">
      <c r="B31" t="inlineStr">
        <is>
          <t>US</t>
        </is>
      </c>
      <c r="C31" t="n">
        <v>60</v>
      </c>
    </row>
    <row r="32">
      <c r="B32" t="inlineStr">
        <is>
          <t>Average price</t>
        </is>
      </c>
      <c r="C32" s="1">
        <f>C31*C10+C30*(1-C10)</f>
        <v/>
      </c>
    </row>
    <row r="34">
      <c r="B34" t="inlineStr">
        <is>
          <t># orders / year</t>
        </is>
      </c>
      <c r="C34" s="1">
        <f>C26/C32</f>
        <v/>
      </c>
    </row>
    <row r="36">
      <c r="B36" t="inlineStr">
        <is>
          <t>orders from AT/year</t>
        </is>
      </c>
      <c r="C36" s="1">
        <f>C34*C14</f>
        <v/>
      </c>
    </row>
    <row r="37">
      <c r="B37" t="inlineStr">
        <is>
          <t>monthly</t>
        </is>
      </c>
      <c r="C37" s="185">
        <f>C36/12</f>
        <v/>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B3:F36"/>
  <sheetViews>
    <sheetView topLeftCell="A11" workbookViewId="0">
      <selection activeCell="C36" sqref="C36"/>
    </sheetView>
  </sheetViews>
  <sheetFormatPr baseColWidth="8" defaultRowHeight="14.4"/>
  <cols>
    <col width="18.33203125" customWidth="1" style="180" min="2" max="2"/>
    <col width="14.109375" bestFit="1" customWidth="1" style="180" min="3" max="3"/>
    <col width="12" customWidth="1" style="180" min="4" max="4"/>
    <col width="14.6640625" customWidth="1" style="180" min="5" max="5"/>
  </cols>
  <sheetData>
    <row r="3">
      <c r="C3" t="inlineStr">
        <is>
          <t>Aug</t>
        </is>
      </c>
      <c r="D3" t="inlineStr">
        <is>
          <t>Sep</t>
        </is>
      </c>
      <c r="E3" t="inlineStr">
        <is>
          <t>Oct</t>
        </is>
      </c>
      <c r="F3" t="inlineStr">
        <is>
          <t>MAU,k</t>
        </is>
      </c>
    </row>
    <row r="4">
      <c r="B4" t="inlineStr">
        <is>
          <t>fotobook.at</t>
        </is>
      </c>
      <c r="C4" t="n">
        <v>2.8</v>
      </c>
      <c r="D4" t="n">
        <v>6.4</v>
      </c>
      <c r="E4" t="n">
        <v>3</v>
      </c>
      <c r="F4">
        <f>AVERAGE(C4:E4)</f>
        <v/>
      </c>
    </row>
    <row r="6">
      <c r="B6" t="inlineStr">
        <is>
          <t>bounce rate</t>
        </is>
      </c>
      <c r="C6" s="82" t="n">
        <v>0.5259</v>
      </c>
    </row>
    <row r="8">
      <c r="B8" t="inlineStr">
        <is>
          <t>Top-5 countries</t>
        </is>
      </c>
    </row>
    <row r="9">
      <c r="D9" t="inlineStr">
        <is>
          <t>MAU by country,k</t>
        </is>
      </c>
      <c r="E9" t="inlineStr">
        <is>
          <t>monthly purchase, k</t>
        </is>
      </c>
      <c r="F9" t="inlineStr">
        <is>
          <t>yearly purchase</t>
        </is>
      </c>
    </row>
    <row r="10">
      <c r="B10" t="inlineStr">
        <is>
          <t>Austria</t>
        </is>
      </c>
      <c r="C10" s="82" t="n">
        <v>0.6745</v>
      </c>
      <c r="D10" s="1">
        <f>C10*$F$4</f>
        <v/>
      </c>
      <c r="E10" s="185">
        <f>D10*$C$20</f>
        <v/>
      </c>
      <c r="F10" s="185">
        <f>E10*12</f>
        <v/>
      </c>
    </row>
    <row r="11">
      <c r="B11" t="inlineStr">
        <is>
          <t>Germany</t>
        </is>
      </c>
      <c r="C11" s="82" t="n">
        <v>0.3255</v>
      </c>
      <c r="D11" s="1">
        <f>C11*$F$4</f>
        <v/>
      </c>
      <c r="E11" s="185">
        <f>D11*$C$20</f>
        <v/>
      </c>
      <c r="F11" s="185">
        <f>E11*12</f>
        <v/>
      </c>
    </row>
    <row r="12">
      <c r="F12" s="185">
        <f>SUM(F10:F11)</f>
        <v/>
      </c>
    </row>
    <row r="15">
      <c r="B15" t="inlineStr">
        <is>
          <t>Conversion rates (visits to purchase)</t>
        </is>
      </c>
      <c r="E15" t="inlineStr">
        <is>
          <t>https://gripsintelligence.com/insights/retailers/mixbook.com?utm_source=chatgpt.com</t>
        </is>
      </c>
    </row>
    <row r="17">
      <c r="B17" t="inlineStr">
        <is>
          <t>Mixbook</t>
        </is>
      </c>
      <c r="C17" s="82" t="n">
        <v>0.0225</v>
      </c>
    </row>
    <row r="18">
      <c r="B18" t="inlineStr">
        <is>
          <t>Milk books</t>
        </is>
      </c>
      <c r="C18" s="82" t="n">
        <v>0.0325</v>
      </c>
    </row>
    <row r="19">
      <c r="B19" t="inlineStr">
        <is>
          <t>Artifact Uprising</t>
        </is>
      </c>
      <c r="C19" s="82" t="n">
        <v>0.0425</v>
      </c>
    </row>
    <row r="20">
      <c r="C20" s="82">
        <f>AVERAGE(C17:C19)</f>
        <v/>
      </c>
    </row>
    <row r="22">
      <c r="B22" t="inlineStr">
        <is>
          <t>Annual revenue 2024, EUR</t>
        </is>
      </c>
      <c r="C22" s="1">
        <f>15*10^6</f>
        <v/>
      </c>
      <c r="D22" t="inlineStr">
        <is>
          <t>https://www.dnb.com/business-directory/company-information.professional_and_commercial_equipment_and_supplies_merchant_wholesalers.at.html?page=5</t>
        </is>
      </c>
    </row>
    <row r="23">
      <c r="B23" t="inlineStr">
        <is>
          <t>% of fotobooks revenue</t>
        </is>
      </c>
      <c r="C23" s="83" t="n">
        <v>0.7</v>
      </c>
    </row>
    <row r="24">
      <c r="C24" s="1">
        <f>C23*C22</f>
        <v/>
      </c>
      <c r="D24" s="1">
        <f>C24*C23*C10</f>
        <v/>
      </c>
    </row>
    <row r="26">
      <c r="B26" t="inlineStr">
        <is>
          <t>Photobook price</t>
        </is>
      </c>
    </row>
    <row r="27">
      <c r="C27" t="inlineStr">
        <is>
          <t>EUR</t>
        </is>
      </c>
    </row>
    <row r="28">
      <c r="B28" t="inlineStr">
        <is>
          <t>Europe</t>
        </is>
      </c>
      <c r="C28" t="n">
        <v>50</v>
      </c>
    </row>
    <row r="30">
      <c r="B30" t="inlineStr">
        <is>
          <t># orders / year</t>
        </is>
      </c>
      <c r="C30" s="1">
        <f>C24/C28</f>
        <v/>
      </c>
    </row>
    <row r="32">
      <c r="B32" t="inlineStr">
        <is>
          <t>orders from AT/year</t>
        </is>
      </c>
      <c r="C32" s="1">
        <f>C30*C10</f>
        <v/>
      </c>
      <c r="D32" s="185">
        <f>D24/C28</f>
        <v/>
      </c>
    </row>
    <row r="33">
      <c r="B33" t="inlineStr">
        <is>
          <t>monthly</t>
        </is>
      </c>
      <c r="C33" s="185">
        <f>C32/12</f>
        <v/>
      </c>
    </row>
    <row r="35">
      <c r="C35" t="n">
        <v>500</v>
      </c>
    </row>
    <row r="36">
      <c r="C36" s="4">
        <f>C35/C33</f>
        <v/>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B2:L22"/>
  <sheetViews>
    <sheetView workbookViewId="0">
      <selection activeCell="C36" sqref="C36"/>
    </sheetView>
  </sheetViews>
  <sheetFormatPr baseColWidth="8" defaultColWidth="8.6640625" defaultRowHeight="14.4"/>
  <cols>
    <col width="2.33203125" customWidth="1" style="180" min="1" max="1"/>
    <col width="21.33203125" customWidth="1" style="180" min="3" max="3"/>
    <col width="12.44140625" customWidth="1" style="180" min="4" max="4"/>
    <col width="50.6640625" bestFit="1" customWidth="1" style="180" min="5" max="5"/>
    <col width="14.44140625" customWidth="1" style="180" min="6" max="6"/>
    <col width="20.109375" customWidth="1" style="180" min="7" max="7"/>
    <col width="18.109375" customWidth="1" style="180" min="8" max="8"/>
    <col width="16.6640625" customWidth="1" style="180" min="10" max="10"/>
  </cols>
  <sheetData>
    <row r="2">
      <c r="B2" t="inlineStr">
        <is>
          <t>#</t>
        </is>
      </c>
      <c r="C2" t="inlineStr">
        <is>
          <t>Name</t>
        </is>
      </c>
      <c r="D2" t="inlineStr">
        <is>
          <t>Country</t>
        </is>
      </c>
      <c r="E2" t="inlineStr">
        <is>
          <t>Link</t>
        </is>
      </c>
      <c r="F2" t="inlineStr">
        <is>
          <t>Sent request?</t>
        </is>
      </c>
      <c r="G2" t="inlineStr">
        <is>
          <t>Received reply?</t>
        </is>
      </c>
      <c r="H2" t="inlineStr">
        <is>
          <t>ball on side</t>
        </is>
      </c>
      <c r="I2" t="inlineStr">
        <is>
          <t>Comments</t>
        </is>
      </c>
    </row>
    <row r="3">
      <c r="B3" t="n">
        <v>1</v>
      </c>
      <c r="C3" t="inlineStr">
        <is>
          <t>Elanders</t>
        </is>
      </c>
      <c r="D3" t="inlineStr">
        <is>
          <t>Poland</t>
        </is>
      </c>
      <c r="E3" s="6" t="inlineStr">
        <is>
          <t>https://www.elanders.com/pol/print-products/</t>
        </is>
      </c>
      <c r="F3" t="inlineStr">
        <is>
          <t>yes</t>
        </is>
      </c>
      <c r="G3" t="inlineStr">
        <is>
          <t>good answers</t>
        </is>
      </c>
      <c r="H3" t="inlineStr">
        <is>
          <t>their</t>
        </is>
      </c>
      <c r="I3" t="inlineStr">
        <is>
          <t>have API</t>
        </is>
      </c>
    </row>
    <row r="4">
      <c r="B4" t="n">
        <v>2</v>
      </c>
      <c r="C4" t="inlineStr">
        <is>
          <t>Flyeralarm</t>
        </is>
      </c>
      <c r="D4" t="inlineStr">
        <is>
          <t>Germany</t>
        </is>
      </c>
      <c r="E4" s="6" t="inlineStr">
        <is>
          <t>https://www.flyeralarm.com/de/i/kontakt</t>
        </is>
      </c>
      <c r="F4" t="inlineStr">
        <is>
          <t>no</t>
        </is>
      </c>
      <c r="G4" t="inlineStr">
        <is>
          <t>yes, use calculator from the site</t>
        </is>
      </c>
      <c r="H4" t="inlineStr">
        <is>
          <t>my</t>
        </is>
      </c>
      <c r="I4" t="inlineStr">
        <is>
          <t>9-11 days printing lead time, no personalized packaging, no API</t>
        </is>
      </c>
    </row>
    <row r="5">
      <c r="B5" t="n">
        <v>3</v>
      </c>
      <c r="C5" t="inlineStr">
        <is>
          <t>Saal</t>
        </is>
      </c>
      <c r="D5" t="inlineStr">
        <is>
          <t>Germany</t>
        </is>
      </c>
      <c r="E5" t="inlineStr">
        <is>
          <t>https://www.saal-digital.eu/support/contact-customer-care/</t>
        </is>
      </c>
      <c r="F5" t="inlineStr">
        <is>
          <t>yes</t>
        </is>
      </c>
      <c r="G5" t="inlineStr">
        <is>
          <t>good answer to continue (aquamarinkoo mail)</t>
        </is>
      </c>
      <c r="H5" t="inlineStr">
        <is>
          <t>my</t>
        </is>
      </c>
    </row>
    <row r="6" customFormat="1" s="24">
      <c r="B6" s="24" t="n">
        <v>4</v>
      </c>
      <c r="C6" s="24" t="inlineStr">
        <is>
          <t>Sowadruck</t>
        </is>
      </c>
      <c r="D6" s="24" t="inlineStr">
        <is>
          <t>Poland</t>
        </is>
      </c>
      <c r="E6" s="25" t="inlineStr">
        <is>
          <t>https://sowadruk.pl/en/contact</t>
        </is>
      </c>
      <c r="F6" s="24" t="inlineStr">
        <is>
          <t>yes</t>
        </is>
      </c>
      <c r="G6" s="24" t="inlineStr">
        <is>
          <t>Not working for us</t>
        </is>
      </c>
      <c r="H6" s="24" t="inlineStr">
        <is>
          <t>discard</t>
        </is>
      </c>
    </row>
    <row r="7">
      <c r="B7" t="n">
        <v>5</v>
      </c>
      <c r="C7" t="inlineStr">
        <is>
          <t>Druck.pl</t>
        </is>
      </c>
      <c r="D7" t="inlineStr">
        <is>
          <t>Poland</t>
        </is>
      </c>
      <c r="E7" s="6" t="inlineStr">
        <is>
          <t>https://druck.pl/kontaktde/</t>
        </is>
      </c>
      <c r="F7" t="inlineStr">
        <is>
          <t>yes</t>
        </is>
      </c>
      <c r="G7" t="inlineStr">
        <is>
          <t>no answer</t>
        </is>
      </c>
      <c r="H7" t="inlineStr">
        <is>
          <t>discard</t>
        </is>
      </c>
    </row>
    <row r="8">
      <c r="B8" t="n">
        <v>6</v>
      </c>
      <c r="C8" t="inlineStr">
        <is>
          <t>printhub.eu</t>
        </is>
      </c>
      <c r="D8" t="inlineStr">
        <is>
          <t>Poland</t>
        </is>
      </c>
      <c r="E8" s="6" t="inlineStr">
        <is>
          <t>https://www.printhub.eu/books-printing-on-demand</t>
        </is>
      </c>
      <c r="F8" t="inlineStr">
        <is>
          <t>yes</t>
        </is>
      </c>
      <c r="G8" t="inlineStr">
        <is>
          <t>good answer to estimate</t>
        </is>
      </c>
      <c r="H8" t="inlineStr">
        <is>
          <t>my</t>
        </is>
      </c>
      <c r="I8" t="inlineStr">
        <is>
          <t>1 week production time, no API</t>
        </is>
      </c>
    </row>
    <row r="9" customFormat="1" s="24">
      <c r="B9" s="24" t="n">
        <v>7</v>
      </c>
      <c r="C9" s="24" t="inlineStr">
        <is>
          <t>graspo</t>
        </is>
      </c>
      <c r="D9" s="24" t="inlineStr">
        <is>
          <t>Czech</t>
        </is>
      </c>
      <c r="E9" s="25" t="inlineStr">
        <is>
          <t>https://www.graspo.com/en/contact-us</t>
        </is>
      </c>
      <c r="F9" s="24" t="inlineStr">
        <is>
          <t>yes</t>
        </is>
      </c>
      <c r="G9" s="24" t="inlineStr">
        <is>
          <t>Not working for us</t>
        </is>
      </c>
      <c r="H9" s="24" t="inlineStr">
        <is>
          <t>discard</t>
        </is>
      </c>
    </row>
    <row r="11">
      <c r="L11">
        <f>1620/100</f>
        <v/>
      </c>
    </row>
    <row r="14" ht="72" customHeight="1" s="180">
      <c r="D14" t="inlineStr">
        <is>
          <t>Hub</t>
        </is>
      </c>
      <c r="E14" s="33" t="inlineStr">
        <is>
          <t>Digital press (HP Indigo, Ricoh Pro, etc.)</t>
        </is>
      </c>
      <c r="F14" s="33" t="inlineStr">
        <is>
          <t>&lt;1w production lead time (from order to delivery)</t>
        </is>
      </c>
      <c r="G14" s="32" t="inlineStr">
        <is>
          <t>Uncoated 150–170 gsm stock 
(or willing to special-order)</t>
        </is>
      </c>
      <c r="H14" s="32" t="inlineStr">
        <is>
          <t>Hardcover case-binding: photo-laminate</t>
        </is>
      </c>
      <c r="I14" s="31" t="inlineStr">
        <is>
          <t>Branded single-book packaging service</t>
        </is>
      </c>
      <c r="J14" s="32" t="inlineStr">
        <is>
          <t>Order automation (API or SFTP)</t>
        </is>
      </c>
    </row>
    <row r="15">
      <c r="D15" t="inlineStr">
        <is>
          <t>Elanders</t>
        </is>
      </c>
      <c r="E15" t="inlineStr">
        <is>
          <t>yes</t>
        </is>
      </c>
      <c r="F15" t="inlineStr">
        <is>
          <t>yes</t>
        </is>
      </c>
      <c r="G15" t="inlineStr">
        <is>
          <t>yes</t>
        </is>
      </c>
      <c r="H15" t="inlineStr">
        <is>
          <t>yes</t>
        </is>
      </c>
      <c r="I15" t="inlineStr">
        <is>
          <t>yes</t>
        </is>
      </c>
      <c r="J15" t="inlineStr">
        <is>
          <t>yes</t>
        </is>
      </c>
    </row>
    <row r="16">
      <c r="D16" t="inlineStr">
        <is>
          <t>Flyeralarm</t>
        </is>
      </c>
      <c r="E16" t="inlineStr">
        <is>
          <t>yes</t>
        </is>
      </c>
      <c r="F16" t="inlineStr">
        <is>
          <t>yes</t>
        </is>
      </c>
      <c r="G16" t="inlineStr">
        <is>
          <t>yes</t>
        </is>
      </c>
      <c r="H16" t="inlineStr">
        <is>
          <t>yes</t>
        </is>
      </c>
      <c r="I16" t="inlineStr">
        <is>
          <t>n/a</t>
        </is>
      </c>
      <c r="J16" t="inlineStr">
        <is>
          <t>?</t>
        </is>
      </c>
    </row>
    <row r="17">
      <c r="D17" t="inlineStr">
        <is>
          <t>Saal</t>
        </is>
      </c>
      <c r="E17" t="inlineStr">
        <is>
          <t>yes</t>
        </is>
      </c>
      <c r="F17" t="inlineStr">
        <is>
          <t>yes</t>
        </is>
      </c>
      <c r="G17" t="inlineStr">
        <is>
          <t>yes</t>
        </is>
      </c>
      <c r="H17" t="inlineStr">
        <is>
          <t>yes</t>
        </is>
      </c>
      <c r="I17" t="inlineStr">
        <is>
          <t>yes</t>
        </is>
      </c>
      <c r="J17" t="inlineStr">
        <is>
          <t>no</t>
        </is>
      </c>
    </row>
    <row r="18">
      <c r="D18" s="24" t="inlineStr">
        <is>
          <t>Sowadruck</t>
        </is>
      </c>
      <c r="E18" t="inlineStr">
        <is>
          <t>yes</t>
        </is>
      </c>
      <c r="F18" t="inlineStr">
        <is>
          <t>no</t>
        </is>
      </c>
      <c r="G18" t="inlineStr">
        <is>
          <t>n/a</t>
        </is>
      </c>
      <c r="H18" t="inlineStr">
        <is>
          <t>n/a</t>
        </is>
      </c>
      <c r="I18" t="inlineStr">
        <is>
          <t>n/a</t>
        </is>
      </c>
      <c r="J18" t="inlineStr">
        <is>
          <t>n/a</t>
        </is>
      </c>
    </row>
    <row r="19">
      <c r="D19" t="inlineStr">
        <is>
          <t>Druck.pl</t>
        </is>
      </c>
      <c r="E19" t="inlineStr">
        <is>
          <t>n/a</t>
        </is>
      </c>
      <c r="F19" t="inlineStr">
        <is>
          <t>n/a</t>
        </is>
      </c>
      <c r="G19" t="inlineStr">
        <is>
          <t>n/a</t>
        </is>
      </c>
      <c r="H19" t="inlineStr">
        <is>
          <t>n/a</t>
        </is>
      </c>
      <c r="I19" t="inlineStr">
        <is>
          <t>n/a</t>
        </is>
      </c>
      <c r="J19" t="inlineStr">
        <is>
          <t>n/a</t>
        </is>
      </c>
    </row>
    <row r="20">
      <c r="D20" t="inlineStr">
        <is>
          <t>printhub.eu</t>
        </is>
      </c>
      <c r="E20" t="inlineStr">
        <is>
          <t>yes</t>
        </is>
      </c>
      <c r="F20" t="inlineStr">
        <is>
          <t>yes</t>
        </is>
      </c>
      <c r="G20" t="inlineStr">
        <is>
          <t>yes</t>
        </is>
      </c>
      <c r="H20" t="inlineStr">
        <is>
          <t>yes</t>
        </is>
      </c>
      <c r="I20" t="inlineStr">
        <is>
          <t>n/a</t>
        </is>
      </c>
      <c r="J20" t="inlineStr">
        <is>
          <t>no</t>
        </is>
      </c>
    </row>
    <row r="21">
      <c r="D21" s="24" t="inlineStr">
        <is>
          <t>graspo</t>
        </is>
      </c>
      <c r="E21" t="inlineStr">
        <is>
          <t>yes</t>
        </is>
      </c>
      <c r="F21" t="inlineStr">
        <is>
          <t>no</t>
        </is>
      </c>
      <c r="G21" t="inlineStr">
        <is>
          <t>n/a</t>
        </is>
      </c>
      <c r="H21" t="inlineStr">
        <is>
          <t>n/a</t>
        </is>
      </c>
      <c r="I21" t="inlineStr">
        <is>
          <t>n/a</t>
        </is>
      </c>
      <c r="J21" t="inlineStr">
        <is>
          <t>no</t>
        </is>
      </c>
    </row>
    <row r="22">
      <c r="D22" t="inlineStr">
        <is>
          <t>Dora</t>
        </is>
      </c>
    </row>
  </sheetData>
  <hyperlinks>
    <hyperlink xmlns:r="http://schemas.openxmlformats.org/officeDocument/2006/relationships" ref="E3" r:id="rId1"/>
    <hyperlink xmlns:r="http://schemas.openxmlformats.org/officeDocument/2006/relationships" ref="E4" r:id="rId2"/>
    <hyperlink xmlns:r="http://schemas.openxmlformats.org/officeDocument/2006/relationships" ref="E6" r:id="rId3"/>
    <hyperlink xmlns:r="http://schemas.openxmlformats.org/officeDocument/2006/relationships" ref="E7" r:id="rId4"/>
    <hyperlink xmlns:r="http://schemas.openxmlformats.org/officeDocument/2006/relationships" ref="E8" r:id="rId5"/>
    <hyperlink xmlns:r="http://schemas.openxmlformats.org/officeDocument/2006/relationships" ref="E9" r:id="rId6"/>
  </hyperlink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B2:F5"/>
  <sheetViews>
    <sheetView workbookViewId="0">
      <selection activeCell="D16" sqref="D16:D21"/>
    </sheetView>
  </sheetViews>
  <sheetFormatPr baseColWidth="8" defaultColWidth="8.6640625" defaultRowHeight="14.4"/>
  <cols>
    <col width="28.44140625" bestFit="1" customWidth="1" style="180" min="2" max="2"/>
    <col width="18.33203125" bestFit="1" customWidth="1" style="180" min="4" max="4"/>
    <col width="12.6640625" bestFit="1" customWidth="1" style="180" min="5" max="5"/>
  </cols>
  <sheetData>
    <row r="2">
      <c r="C2" t="inlineStr">
        <is>
          <t>Perks</t>
        </is>
      </c>
      <c r="D2" t="inlineStr">
        <is>
          <t>Who</t>
        </is>
      </c>
      <c r="E2" t="inlineStr">
        <is>
          <t>Deadline</t>
        </is>
      </c>
      <c r="F2" t="inlineStr">
        <is>
          <t>Link</t>
        </is>
      </c>
    </row>
    <row r="3">
      <c r="B3" t="inlineStr">
        <is>
          <t>Startup Scholarship</t>
        </is>
      </c>
      <c r="C3" t="n">
        <v>8000</v>
      </c>
      <c r="D3" t="inlineStr">
        <is>
          <t>wirtschaftsagentur.at</t>
        </is>
      </c>
      <c r="E3" t="inlineStr">
        <is>
          <t>15 Septermber</t>
        </is>
      </c>
      <c r="F3" t="inlineStr">
        <is>
          <t>https://wirtschaftsagentur.at/aktuelle-foerderungen-der-wirtschaftsagentur-wien/foe-gruendungsstipendium/</t>
        </is>
      </c>
    </row>
    <row r="4">
      <c r="B4" t="inlineStr">
        <is>
          <t>Founders Lab - Creative Industries</t>
        </is>
      </c>
      <c r="C4" t="inlineStr">
        <is>
          <t>mentoring</t>
        </is>
      </c>
      <c r="D4" t="inlineStr">
        <is>
          <t>Vienna Business Services</t>
        </is>
      </c>
      <c r="E4" t="inlineStr">
        <is>
          <t>17 September - 12.12</t>
        </is>
      </c>
      <c r="F4" t="inlineStr">
        <is>
          <t>https://vienna.business/events-workshops/founders-lab-creative-industries-2025/</t>
        </is>
      </c>
    </row>
    <row r="5">
      <c r="B5" t="inlineStr">
        <is>
          <t>Creative industries funding</t>
        </is>
      </c>
      <c r="C5" t="inlineStr">
        <is>
          <t>up to 200k</t>
        </is>
      </c>
      <c r="D5" t="inlineStr">
        <is>
          <t>Vienna business agency</t>
        </is>
      </c>
      <c r="E5" t="inlineStr">
        <is>
          <t>31 November</t>
        </is>
      </c>
      <c r="F5" t="inlineStr">
        <is>
          <t>https://wirtschaftsagentur.at/aktuelle-foerderungen-der-wirtschaftsagentur-wien/foerderung-projekt-kreativwirtschaft/</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B1:K15"/>
  <sheetViews>
    <sheetView workbookViewId="0">
      <selection activeCell="D16" sqref="D16:D21"/>
    </sheetView>
  </sheetViews>
  <sheetFormatPr baseColWidth="8" defaultColWidth="8.6640625" defaultRowHeight="14.4"/>
  <cols>
    <col width="2.44140625" customWidth="1" style="180" min="1" max="1"/>
    <col width="28.6640625" customWidth="1" style="180" min="2" max="2"/>
    <col width="30.6640625" customWidth="1" style="180" min="3" max="3"/>
    <col width="18.109375" customWidth="1" style="180" min="4" max="4"/>
    <col width="44.6640625" bestFit="1" customWidth="1" style="180" min="5" max="5"/>
  </cols>
  <sheetData>
    <row r="1">
      <c r="D1" t="inlineStr">
        <is>
          <t>Density</t>
        </is>
      </c>
    </row>
    <row r="2">
      <c r="B2" t="inlineStr">
        <is>
          <t>Paper reference</t>
        </is>
      </c>
      <c r="C2" t="inlineStr">
        <is>
          <t>Mohawk Option Smoth</t>
        </is>
      </c>
      <c r="D2" t="inlineStr">
        <is>
          <t>148g/m2</t>
        </is>
      </c>
    </row>
    <row r="3">
      <c r="B3" t="inlineStr">
        <is>
          <t>Soft cover reference</t>
        </is>
      </c>
      <c r="C3" t="inlineStr">
        <is>
          <t>Mohawk Eggshell</t>
        </is>
      </c>
      <c r="D3" t="inlineStr">
        <is>
          <t>324g/m2</t>
        </is>
      </c>
    </row>
    <row r="7">
      <c r="B7" t="inlineStr">
        <is>
          <t>Printing machine reference</t>
        </is>
      </c>
      <c r="C7" t="inlineStr">
        <is>
          <t>RIKO 9210 (9200)</t>
        </is>
      </c>
      <c r="K7" t="inlineStr">
        <is>
          <t>Gmund</t>
        </is>
      </c>
    </row>
    <row r="8">
      <c r="B8" t="inlineStr">
        <is>
          <t>Printing method</t>
        </is>
      </c>
      <c r="C8" t="inlineStr">
        <is>
          <t>offset printing</t>
        </is>
      </c>
      <c r="J8" t="inlineStr">
        <is>
          <t>pcs</t>
        </is>
      </c>
      <c r="K8" t="n">
        <v>2000</v>
      </c>
    </row>
    <row r="9">
      <c r="J9" t="inlineStr">
        <is>
          <t>eur</t>
        </is>
      </c>
      <c r="K9" t="n">
        <v>544.4299999999999</v>
      </c>
    </row>
    <row r="10">
      <c r="J10" t="inlineStr">
        <is>
          <t>eur/pcs</t>
        </is>
      </c>
      <c r="K10">
        <f>K9/K8</f>
        <v/>
      </c>
    </row>
    <row r="13">
      <c r="B13" t="inlineStr">
        <is>
          <t>Printing paper</t>
        </is>
      </c>
    </row>
    <row r="14">
      <c r="C14" t="inlineStr">
        <is>
          <t>Country</t>
        </is>
      </c>
      <c r="D14" t="inlineStr">
        <is>
          <t>Offers printing?</t>
        </is>
      </c>
      <c r="E14" t="inlineStr">
        <is>
          <t>Paper reference</t>
        </is>
      </c>
    </row>
    <row r="15">
      <c r="B15" t="inlineStr">
        <is>
          <t>gmund.com</t>
        </is>
      </c>
      <c r="C15" t="inlineStr">
        <is>
          <t>Germany</t>
        </is>
      </c>
      <c r="D15" s="6" t="inlineStr">
        <is>
          <t xml:space="preserve">yes </t>
        </is>
      </c>
      <c r="E15" s="6" t="inlineStr">
        <is>
          <t>https://www.gmund.com/shop/de_at/780-digi50.html</t>
        </is>
      </c>
    </row>
  </sheetData>
  <hyperlinks>
    <hyperlink xmlns:r="http://schemas.openxmlformats.org/officeDocument/2006/relationships" ref="D15" r:id="rId1"/>
    <hyperlink xmlns:r="http://schemas.openxmlformats.org/officeDocument/2006/relationships" ref="E15" r:id="rId2"/>
  </hyperlink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Evgenii Myasin</dc:creator>
  <dcterms:created xmlns:dcterms="http://purl.org/dc/terms/" xmlns:xsi="http://www.w3.org/2001/XMLSchema-instance" xsi:type="dcterms:W3CDTF">2025-03-24T17:54:36Z</dcterms:created>
  <dcterms:modified xmlns:dcterms="http://purl.org/dc/terms/" xmlns:xsi="http://www.w3.org/2001/XMLSchema-instance" xsi:type="dcterms:W3CDTF">2026-08-03T10:52:48Z</dcterms:modified>
  <cp:lastModifiedBy>Evgeniy Myasin</cp:lastModifiedBy>
</cp:coreProperties>
</file>